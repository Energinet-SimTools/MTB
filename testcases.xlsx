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07" documentId="11_710D79F8E8F49B720F18F8F5A5BEAA4096265349" xr6:coauthVersionLast="47" xr6:coauthVersionMax="47" xr10:uidLastSave="{9771C8EB-9FEE-4BCA-9478-F65D1BCD5756}"/>
  <bookViews>
    <workbookView xWindow="-15400" yWindow="-21710" windowWidth="51420" windowHeight="21100" tabRatio="822" activeTab="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cases'!$A$2:$BJ$90</definedName>
    <definedName name="_xlnm._FilterDatabase" localSheetId="2" hidden="1">'RfG cases'!$A$2:$BK$183</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83" i="6" l="1"/>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AD183" i="6" s="1"/>
  <c r="AC183" i="6" s="1"/>
  <c r="O183" i="6" s="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E75" i="6"/>
  <c r="J75" i="6" s="1"/>
  <c r="M81" i="6"/>
  <c r="L81" i="6"/>
  <c r="E81" i="6"/>
  <c r="J81" i="6" s="1"/>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E28" i="6"/>
  <c r="J28" i="6" s="1"/>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E27" i="6"/>
  <c r="J27" i="6" s="1"/>
  <c r="AD25" i="6"/>
  <c r="AC25" i="6" s="1"/>
  <c r="M25" i="6"/>
  <c r="L25" i="6"/>
  <c r="E25" i="6"/>
  <c r="J25" i="6" s="1"/>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E79" i="15"/>
  <c r="J79" i="15" s="1"/>
  <c r="M110" i="6"/>
  <c r="L110" i="6"/>
  <c r="E110" i="6"/>
  <c r="J110" i="6" s="1"/>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E95" i="6"/>
  <c r="J95" i="6" s="1"/>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E116" i="6"/>
  <c r="J116" i="6" s="1"/>
  <c r="L115" i="6"/>
  <c r="E115" i="6"/>
  <c r="J115" i="6" s="1"/>
  <c r="L114" i="6"/>
  <c r="J114" i="6"/>
  <c r="E114" i="6"/>
  <c r="L113" i="6"/>
  <c r="E113" i="6"/>
  <c r="J113" i="6" s="1"/>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s="1"/>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E23" i="6"/>
  <c r="J23" i="6" s="1"/>
  <c r="L22" i="6"/>
  <c r="J22" i="6"/>
  <c r="E22" i="6"/>
  <c r="L21" i="6"/>
  <c r="E21" i="6"/>
  <c r="J21" i="6" s="1"/>
  <c r="L20" i="6"/>
  <c r="E20" i="6"/>
  <c r="J20" i="6" s="1"/>
  <c r="L19" i="6"/>
  <c r="E19" i="6"/>
  <c r="J19" i="6" s="1"/>
  <c r="L18" i="6"/>
  <c r="E18" i="6"/>
  <c r="J18" i="6" s="1"/>
  <c r="L17" i="6"/>
  <c r="E17" i="6"/>
  <c r="J17" i="6" s="1"/>
  <c r="L16" i="6"/>
  <c r="E16" i="6"/>
  <c r="J16" i="6" s="1"/>
  <c r="L15" i="6"/>
  <c r="L14" i="6"/>
  <c r="E14" i="6"/>
  <c r="J14" i="6" s="1"/>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AD182" i="6" s="1"/>
  <c r="AC182" i="6" s="1"/>
  <c r="O182" i="6" s="1"/>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<sst xmlns="http://schemas.openxmlformats.org/spreadsheetml/2006/main" count="5513" uniqueCount="958">
  <si>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</si>
  <si>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</si>
  <si>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</si>
  <si>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</si>
  <si>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</si>
  <si>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</si>
  <si>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</si>
  <si>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</si>
  <si>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</si>
  <si>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</si>
  <si>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</si>
  <si>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</si>
  <si>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</si>
  <si>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</si>
  <si>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</si>
  <si>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</si>
  <si>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</si>
  <si>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</si>
  <si>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</si>
  <si>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</si>
  <si>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</si>
  <si>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</si>
  <si>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</si>
  <si>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</si>
  <si>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</si>
  <si>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</si>
  <si>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</si>
  <si>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</si>
  <si>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</si>
  <si>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</si>
  <si>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</si>
  <si>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</si>
  <si>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</si>
  <si>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</si>
  <si>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</si>
  <si>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</si>
  <si>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</si>
  <si>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</si>
  <si>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</si>
  <si>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</si>
  <si>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</si>
  <si>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</si>
  <si>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</si>
  <si>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</si>
  <si>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</si>
  <si>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</si>
  <si>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</si>
  <si>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</si>
  <si>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</si>
  <si>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</si>
  <si>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</si>
  <si>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</si>
  <si>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</si>
  <si>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</si>
  <si>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</si>
  <si>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</si>
  <si>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</si>
  <si>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</si>
  <si>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</si>
  <si>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</si>
  <si>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</si>
  <si>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</si>
  <si>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</si>
  <si>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</si>
  <si>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</si>
  <si>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</si>
  <si>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</si>
  <si>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</si>
  <si>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</si>
  <si>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</si>
  <si>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</si>
  <si>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</si>
  <si>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</si>
  <si>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</si>
  <si>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</si>
  <si>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</si>
  <si>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</si>
  <si>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</si>
  <si>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</si>
  <si>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</si>
  <si>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</si>
  <si>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</si>
  <si>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</si>
  <si>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</si>
  <si>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</si>
  <si>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</si>
  <si>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</si>
  <si>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</si>
  <si>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</si>
  <si>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</si>
  <si>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</si>
  <si>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</si>
  <si>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</si>
  <si>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</si>
  <si>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</si>
  <si>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</si>
  <si>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</si>
  <si>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</si>
  <si>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</si>
  <si>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</si>
  <si>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</si>
  <si>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</si>
  <si>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</si>
  <si>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</si>
  <si>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</si>
  <si>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</si>
  <si>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</si>
  <si>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</si>
  <si>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</si>
  <si>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</si>
  <si>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</si>
  <si>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</si>
  <si>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</si>
  <si>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</si>
  <si>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</si>
  <si>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</si>
  <si>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</si>
  <si>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</si>
  <si>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</si>
  <si>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</si>
  <si>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</si>
  <si>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</si>
  <si>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</si>
  <si>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</si>
  <si>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</si>
  <si>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</si>
  <si>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</si>
  <si>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</si>
  <si>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</si>
  <si>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</si>
  <si>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</si>
  <si>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</si>
  <si>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</si>
  <si>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</si>
  <si>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</si>
  <si>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</si>
  <si>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</si>
  <si>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</si>
  <si>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</si>
  <si>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</si>
  <si>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</si>
  <si>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</si>
  <si>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</si>
  <si>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</si>
  <si>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</si>
  <si>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</si>
  <si>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</si>
  <si>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</si>
  <si>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</si>
  <si>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</si>
  <si>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</si>
  <si>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</si>
  <si>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</si>
  <si>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</si>
  <si>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</si>
  <si>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</si>
  <si>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</si>
  <si>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</si>
  <si>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</si>
  <si>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</si>
  <si>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</si>
  <si>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</si>
  <si>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</si>
  <si>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</si>
  <si>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</si>
  <si>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</si>
  <si>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</si>
  <si>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</si>
  <si>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</si>
  <si>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</si>
  <si>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</si>
  <si>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</si>
  <si>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</si>
  <si>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</si>
  <si>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</si>
  <si>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</si>
  <si>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</si>
  <si>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</si>
  <si>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</si>
  <si>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</si>
  <si>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</si>
  <si>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</si>
  <si>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</si>
  <si>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</si>
  <si>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</si>
  <si>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</si>
  <si>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</si>
  <si>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</si>
  <si>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</si>
  <si>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</si>
  <si>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</si>
  <si>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</si>
  <si>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</si>
  <si>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</si>
  <si>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</si>
  <si>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</si>
  <si>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</si>
  <si>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</si>
  <si>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</si>
  <si>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</si>
  <si>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</si>
  <si>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</si>
  <si>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</si>
  <si>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</si>
  <si>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</si>
  <si>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</si>
  <si>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</si>
  <si>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</si>
  <si>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</si>
  <si>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</si>
  <si>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</si>
  <si>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</si>
  <si>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</si>
  <si>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</si>
  <si>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</si>
  <si>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</si>
  <si>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</si>
  <si>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</si>
  <si>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</si>
  <si>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</si>
  <si>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</si>
  <si>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</si>
  <si>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</si>
  <si>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</si>
  <si>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</si>
  <si>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</si>
  <si>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</si>
  <si>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</si>
  <si>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</si>
  <si>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</si>
  <si>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</si>
  <si>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</si>
  <si>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</si>
  <si>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</si>
  <si>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</si>
  <si>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</si>
  <si>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</si>
  <si>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</si>
  <si>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</si>
  <si>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</si>
  <si>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</si>
  <si>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</si>
  <si>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</si>
  <si>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</si>
  <si>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</si>
  <si>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</si>
  <si>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</si>
  <si>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</si>
  <si>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</si>
  <si>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</si>
  <si>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</si>
  <si>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</si>
  <si>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</si>
  <si>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</si>
  <si>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</si>
  <si>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</si>
  <si>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</si>
  <si>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</si>
  <si>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</si>
  <si>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</si>
  <si>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</si>
  <si>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</si>
  <si>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</si>
  <si>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</si>
  <si>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</si>
  <si>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</si>
  <si>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</si>
  <si>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</si>
  <si>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</si>
  <si>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</si>
  <si>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</si>
  <si>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</si>
  <si>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</si>
  <si>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</si>
  <si>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</si>
  <si>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</si>
  <si>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</si>
  <si>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</si>
  <si>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</si>
  <si>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</si>
  <si>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</si>
  <si>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</si>
  <si>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</si>
  <si>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</si>
  <si>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</si>
  <si>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</si>
  <si>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</si>
  <si>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</si>
  <si>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</si>
  <si>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</si>
  <si>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</si>
  <si>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</si>
  <si>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</si>
  <si>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</si>
  <si>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</si>
  <si>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</si>
  <si>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</si>
  <si>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</si>
  <si>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</si>
  <si>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</si>
  <si>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</si>
  <si>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</si>
  <si>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</si>
  <si>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</si>
  <si>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</si>
  <si>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</si>
  <si>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</si>
  <si>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</si>
  <si>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</si>
  <si>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</si>
  <si>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</si>
  <si>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</si>
  <si>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</si>
  <si>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</si>
  <si>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</si>
  <si>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</si>
  <si>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</si>
  <si>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</si>
  <si>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</si>
  <si>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</si>
  <si>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</si>
  <si>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</si>
  <si>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</si>
  <si>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</si>
  <si>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</si>
  <si>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</si>
  <si>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</si>
  <si>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</si>
  <si>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</si>
  <si>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</si>
  <si>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</si>
  <si>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</si>
  <si>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</si>
  <si>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</si>
  <si>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</si>
  <si>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</si>
  <si>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</si>
  <si>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</si>
  <si>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</si>
  <si>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</si>
  <si>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</si>
  <si>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</si>
  <si>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</si>
  <si>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</si>
  <si>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</si>
  <si>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</si>
  <si>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</si>
  <si>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</si>
  <si>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</si>
  <si>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</si>
  <si>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</si>
  <si>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</si>
  <si>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</si>
  <si>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</si>
  <si>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</si>
  <si>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</si>
  <si>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</si>
  <si>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</si>
  <si>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</si>
  <si>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</si>
  <si>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</si>
  <si>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</si>
  <si>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</si>
  <si>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</si>
  <si>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</si>
  <si>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</si>
  <si>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</si>
  <si>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</si>
  <si>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</si>
  <si>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</si>
  <si>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</si>
  <si>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</si>
  <si>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</si>
  <si>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</si>
  <si>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</si>
  <si>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</si>
  <si>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</si>
  <si>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</si>
  <si>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</si>
  <si>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</si>
  <si>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</si>
  <si>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</si>
  <si>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</si>
  <si>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</si>
  <si>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</si>
  <si>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</si>
  <si>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</si>
  <si>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</si>
  <si>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</si>
  <si>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</si>
  <si>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</si>
  <si>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</si>
  <si>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</si>
  <si>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</si>
  <si>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</si>
  <si>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</si>
  <si>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</si>
  <si>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</si>
  <si>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</si>
  <si>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</si>
  <si>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</si>
  <si>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</si>
  <si>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</si>
  <si>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</si>
  <si>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</si>
  <si>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</si>
  <si>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</si>
  <si>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</si>
  <si>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</si>
  <si>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</si>
  <si>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</si>
  <si>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</si>
  <si>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</si>
  <si>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</si>
  <si>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</si>
  <si>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</si>
  <si>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</si>
  <si>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</si>
  <si>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</si>
  <si>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</si>
  <si>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</si>
  <si>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</si>
  <si>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</si>
  <si>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</si>
  <si>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</si>
  <si>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</si>
  <si>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</si>
  <si>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</si>
  <si>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</si>
  <si>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</si>
  <si>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</si>
  <si>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</si>
  <si>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</si>
  <si>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</si>
  <si>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</si>
  <si>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</si>
  <si>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</si>
  <si>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</si>
  <si>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</si>
  <si>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</si>
  <si>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</si>
  <si>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</si>
  <si>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</si>
  <si>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</si>
  <si>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</si>
  <si>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</si>
  <si>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</si>
  <si>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</si>
  <si>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</si>
  <si>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</si>
  <si>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</si>
  <si>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</si>
  <si>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</si>
  <si>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</si>
  <si>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</si>
  <si>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</si>
  <si>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</si>
  <si>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</si>
  <si>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</si>
  <si>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</si>
  <si>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</si>
  <si>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</si>
  <si>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</si>
  <si>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</si>
  <si>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</si>
  <si>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</si>
  <si>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</si>
  <si>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</si>
  <si>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</si>
  <si>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</si>
  <si>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</si>
  <si>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</si>
  <si>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</si>
  <si>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</si>
  <si>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</si>
  <si>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</si>
  <si>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</si>
  <si>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</si>
  <si>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</si>
  <si>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</si>
  <si>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</si>
  <si>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</si>
  <si>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</si>
  <si>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</si>
  <si>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</si>
  <si>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</si>
  <si>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</si>
  <si>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</si>
  <si>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</si>
  <si>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</si>
  <si>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</si>
  <si>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</si>
  <si>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</si>
  <si>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</si>
  <si>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</si>
  <si>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</si>
  <si>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</si>
  <si>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</si>
  <si>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</si>
  <si>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</si>
  <si>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</si>
  <si>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</si>
  <si>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</si>
  <si>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</si>
  <si>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</si>
  <si>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</si>
  <si>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</si>
  <si>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</si>
  <si>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</si>
  <si>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</si>
  <si>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</si>
  <si>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</si>
  <si>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</si>
  <si>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</si>
  <si>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</si>
  <si>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</si>
  <si>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</si>
  <si>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</si>
  <si>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</si>
  <si>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</si>
  <si>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</si>
  <si>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</si>
  <si>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</si>
  <si>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</si>
  <si>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</si>
  <si>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</si>
  <si>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</si>
  <si>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</si>
  <si>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</si>
  <si>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</si>
  <si>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</si>
  <si>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</si>
  <si>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</si>
  <si>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</si>
  <si>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</si>
  <si>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</si>
  <si>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</si>
  <si>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</si>
  <si>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</si>
  <si>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</si>
  <si>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</si>
  <si>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</si>
  <si>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</si>
  <si>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</si>
  <si>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</si>
  <si>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</si>
  <si>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</si>
  <si>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</si>
  <si>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</si>
  <si>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</si>
  <si>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</si>
  <si>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</si>
  <si>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</si>
  <si>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</si>
  <si>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</si>
  <si>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</si>
  <si>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</si>
  <si>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</si>
  <si>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</si>
  <si>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</si>
  <si>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</si>
  <si>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</si>
  <si>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</si>
  <si>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</si>
  <si>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</si>
  <si>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</si>
  <si>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</si>
  <si>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</si>
  <si>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</si>
  <si>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</si>
  <si>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</si>
  <si>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</si>
  <si>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</si>
  <si>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</si>
  <si>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</si>
  <si>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</si>
  <si>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</si>
  <si>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</si>
  <si>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</si>
  <si>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</si>
  <si>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</si>
  <si>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</si>
  <si>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</si>
  <si>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</si>
  <si>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</si>
  <si>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</si>
  <si>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</si>
  <si>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</si>
  <si>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</si>
  <si>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</si>
  <si>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</si>
  <si>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</si>
  <si>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</si>
  <si>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</si>
  <si>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</si>
  <si>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</si>
  <si>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</si>
  <si>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</si>
  <si>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</si>
  <si>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</si>
  <si>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</si>
  <si>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</si>
  <si>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</si>
  <si>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</si>
  <si>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</si>
  <si>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</si>
  <si>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</si>
  <si>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</si>
  <si>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</si>
  <si>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</si>
  <si>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</si>
  <si>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</si>
  <si>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</si>
  <si>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</si>
  <si>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</si>
  <si>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</si>
  <si>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</si>
  <si>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</si>
  <si>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</si>
  <si>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</si>
  <si>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</si>
  <si>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</si>
  <si>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</si>
  <si>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</si>
  <si>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</si>
  <si>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</si>
  <si>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</si>
  <si>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</si>
  <si>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</si>
  <si>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</si>
  <si>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</si>
  <si>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</si>
  <si>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</si>
  <si>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</si>
  <si>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</si>
  <si>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</si>
  <si>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</si>
  <si>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</si>
  <si>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</si>
  <si>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</si>
  <si>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</si>
  <si>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</si>
  <si>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</si>
  <si>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</si>
  <si>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</si>
  <si>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</si>
  <si>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</si>
  <si>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</si>
  <si>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</si>
  <si>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</si>
  <si>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</si>
  <si>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</si>
  <si>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</si>
  <si>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</si>
  <si>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</si>
  <si>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</si>
  <si>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</si>
  <si>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</si>
  <si>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</si>
  <si>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</si>
  <si>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</si>
  <si>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</si>
  <si>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</si>
  <si>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</si>
  <si>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</si>
  <si>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</si>
  <si>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</si>
  <si>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</si>
  <si>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</si>
  <si>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</si>
  <si>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</si>
  <si>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</si>
  <si>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</si>
  <si>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</si>
  <si>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</si>
  <si>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</si>
  <si>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</si>
  <si>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</si>
  <si>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</si>
  <si>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</si>
  <si>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</si>
  <si>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</si>
  <si>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</si>
  <si>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</si>
  <si>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</si>
  <si>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</si>
  <si>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</si>
  <si>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</si>
  <si>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</si>
  <si>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</si>
  <si>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</si>
  <si>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</si>
  <si>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</si>
  <si>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</si>
  <si>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</si>
  <si>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</si>
  <si>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</si>
  <si>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</si>
  <si>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</si>
  <si>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</si>
  <si>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</si>
  <si>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</si>
  <si>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</si>
  <si>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</si>
  <si>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</si>
  <si>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</si>
  <si>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</si>
  <si>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</si>
  <si>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</si>
  <si>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</si>
  <si>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</si>
  <si>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</si>
  <si>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</si>
  <si>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</si>
  <si>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</si>
  <si>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</si>
  <si>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</si>
  <si>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</si>
  <si>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</si>
  <si>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</si>
  <si>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</si>
  <si>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</si>
  <si>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</si>
  <si>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</si>
  <si>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</si>
  <si>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</si>
  <si>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</si>
  <si>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</si>
  <si>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</si>
  <si>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</si>
  <si>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</si>
  <si>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</si>
  <si>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</si>
  <si>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</si>
  <si>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</si>
  <si>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</si>
  <si>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</si>
  <si>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</si>
  <si>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</si>
  <si>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</si>
  <si>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</si>
  <si>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</si>
  <si>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</si>
  <si>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</si>
  <si>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</si>
  <si>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</si>
  <si>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</si>
  <si>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</si>
  <si>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</si>
  <si>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</si>
  <si>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</si>
  <si>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</si>
  <si>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</si>
  <si>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</si>
  <si>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</si>
  <si>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</si>
  <si>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</si>
  <si>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</si>
  <si>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</si>
  <si>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</si>
  <si>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</si>
  <si>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</si>
  <si>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</si>
  <si>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</si>
  <si>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</si>
  <si>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</si>
  <si>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</si>
  <si>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</si>
  <si>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</si>
  <si>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</si>
  <si>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</si>
  <si>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</si>
  <si>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</si>
  <si>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</si>
  <si>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</si>
  <si>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</si>
  <si>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</si>
  <si>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</si>
  <si>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</si>
  <si>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</si>
  <si>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</si>
  <si>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</si>
  <si>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</si>
  <si>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</si>
  <si>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</si>
  <si>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</si>
  <si>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</si>
  <si>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</si>
  <si>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</si>
  <si>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</si>
  <si>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</si>
  <si>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</si>
  <si>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</si>
  <si>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</si>
  <si>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</si>
  <si>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</si>
  <si>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</si>
  <si>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</si>
  <si>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</si>
  <si>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</si>
  <si>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</si>
  <si>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</si>
  <si>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</si>
  <si>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</si>
  <si>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</si>
  <si>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</si>
  <si>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</si>
  <si>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</si>
  <si>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</si>
  <si>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</si>
  <si>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</si>
  <si>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</si>
  <si>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</si>
  <si>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</si>
  <si>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</si>
  <si>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</si>
  <si>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</si>
  <si>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</si>
  <si>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</si>
  <si>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</si>
  <si>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</si>
  <si>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</si>
  <si>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</si>
  <si>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</si>
  <si>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</si>
  <si>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</si>
  <si>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</si>
  <si>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</si>
  <si>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</si>
  <si>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</si>
  <si>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</si>
  <si>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</si>
  <si>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</si>
  <si>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</si>
  <si>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</si>
  <si>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</si>
  <si>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</si>
  <si>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</si>
  <si>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</si>
  <si>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</si>
  <si>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</si>
  <si>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</si>
  <si>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</si>
  <si>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</si>
  <si>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</si>
  <si>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</si>
  <si>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</si>
  <si>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</si>
  <si>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</si>
  <si>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</si>
  <si>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</si>
  <si>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</si>
  <si>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</si>
  <si>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</si>
  <si>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</si>
  <si>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</si>
  <si>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</si>
  <si>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</si>
  <si>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</si>
  <si>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</si>
  <si>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</si>
  <si>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</si>
  <si>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</si>
  <si>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</si>
  <si>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</si>
  <si>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</si>
  <si>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</si>
  <si>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</si>
  <si>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</si>
  <si>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</si>
  <si>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</si>
  <si>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</si>
  <si>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</si>
  <si>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</si>
  <si>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</si>
  <si>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</si>
  <si>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</si>
  <si>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</si>
  <si>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</si>
  <si>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</si>
  <si>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</si>
  <si>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</si>
  <si>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</si>
  <si>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</si>
  <si>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</si>
  <si>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</si>
  <si>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</si>
  <si>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</si>
  <si>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</si>
  <si>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</si>
  <si>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</si>
  <si>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</si>
  <si>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</si>
  <si>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</si>
  <si>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</si>
  <si>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</si>
  <si>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</si>
  <si>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</si>
  <si>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</si>
  <si>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</si>
  <si>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</si>
  <si>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</si>
  <si>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</si>
  <si>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</si>
  <si>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</si>
  <si>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</si>
  <si>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</si>
  <si>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</si>
  <si>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</si>
  <si>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</si>
  <si>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</si>
  <si>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</si>
  <si>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</si>
  <si>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</si>
  <si>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</si>
  <si>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</si>
  <si>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</si>
  <si>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</si>
  <si>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</si>
  <si>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</si>
  <si>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</si>
  <si>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</si>
  <si>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</si>
  <si>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</si>
  <si>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</si>
  <si>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</si>
  <si>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</si>
  <si>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</si>
  <si>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</si>
  <si>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</si>
  <si>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</si>
  <si>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</si>
  <si>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</si>
  <si>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</si>
  <si>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</si>
  <si>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</si>
  <si>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</si>
  <si>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</si>
  <si>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</si>
  <si>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</si>
  <si>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</si>
  <si>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</si>
  <si>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</si>
  <si>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 Generation</t>
  </si>
  <si>
    <t>SIPS Demand</t>
  </si>
  <si>
    <t>System Integrity Protection Scheme (SIPS) real signal for Generation facilities
The real signal will be converted into binary equivalent signal using the MTB SIPS Decoder blocks in PSCAD and PowerFactory</t>
  </si>
  <si>
    <t>System Integrity Protection Scheme (SIPS) real signal for Demand facilities
The real signal will be converted into binary equivalent signal using the MTB SIPS Decoder blocks in PSCAD and PowerFactory</t>
  </si>
  <si>
    <t>RfG_SIPS_Q</t>
  </si>
  <si>
    <t>RfG_SIPS_QU</t>
  </si>
  <si>
    <t>RfG_SIPS+fault</t>
  </si>
  <si>
    <t>RfG_SIPS_StepPriority</t>
  </si>
  <si>
    <t>RfG_SIPS_ControlRobustness</t>
  </si>
  <si>
    <t>DCC_SIPS_StepPriority</t>
  </si>
  <si>
    <t>DCC_SIPS_ControlRobustness</t>
  </si>
  <si>
    <t>DCC_SIPS</t>
  </si>
  <si>
    <t>DCC_SIPS+fault</t>
  </si>
  <si>
    <t>RfG_proc_Fault_3_0.80pu</t>
  </si>
  <si>
    <t>RfG_proc_Fault_3_0.60pu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</si>
</sst>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50" xfId="0" applyFont="1" applyBorder="1" applyAlignment="1">
      <alignment vertical="center"/>
    </xf>
    <xf numFmtId="0" fontId="3" fillId="0" borderId="50" xfId="0" applyFont="1" applyBorder="1" applyAlignment="1">
      <alignment vertical="top" wrapText="1"/>
    </xf>
    <xf numFmtId="0" fontId="3" fillId="0" borderId="50" xfId="0" quotePrefix="1" applyFont="1" applyBorder="1" applyAlignment="1">
      <alignment vertical="center"/>
    </xf>
    <xf numFmtId="0" fontId="0" fillId="0" borderId="41" xfId="0" applyBorder="1" applyAlignment="1">
      <alignment horizontal="center"/>
    </xf>
    <xf numFmtId="0" fontId="13" fillId="0" borderId="18" xfId="0" applyFont="1" applyBorder="1" applyAlignment="1">
      <alignment horizont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9" fontId="1" fillId="8" borderId="1" xfId="2" applyFont="1" applyFill="1" applyBorder="1" applyAlignment="1">
      <alignment horizontal="right"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M49"/>
  <sheetViews>
    <sheetView zoomScaleNormal="100" workbookViewId="0">
      <selection activeCell="B2" sqref="B2"/>
    </sheetView>
  </sheetViews>
  <sheetFormatPr defaultRowHeight="14.6" x14ac:dyDescent="0.4"/>
  <cols>
    <col min="1" max="1" width="30.3046875" customWidth="1"/>
    <col min="2" max="2" width="21.53515625" style="3" bestFit="1" customWidth="1"/>
    <col min="3" max="3" width="6.69140625" style="3" customWidth="1"/>
    <col min="4" max="4" width="94.53515625" customWidth="1"/>
    <col min="5" max="5" width="9.15234375" style="3"/>
    <col min="6" max="6" width="9.69140625" customWidth="1"/>
    <col min="7" max="7" width="19.15234375" customWidth="1"/>
    <col min="8" max="13" width="12.69140625" customWidth="1"/>
  </cols>
  <sheetData>
    <row r="1" spans="1:13" x14ac:dyDescent="0.4">
      <c r="A1" s="195" t="s">
        <v>92</v>
      </c>
      <c r="B1" s="196" t="s">
        <v>226</v>
      </c>
      <c r="C1" s="196" t="s">
        <v>216</v>
      </c>
      <c r="D1" s="195" t="s">
        <v>0</v>
      </c>
    </row>
    <row r="2" spans="1:13" ht="15" thickBot="1" x14ac:dyDescent="0.45">
      <c r="A2" s="344" t="s">
        <v>224</v>
      </c>
      <c r="B2" s="307" t="s">
        <v>214</v>
      </c>
      <c r="C2" s="249" t="s">
        <v>10</v>
      </c>
      <c r="D2" s="345"/>
    </row>
    <row r="3" spans="1:13" x14ac:dyDescent="0.4">
      <c r="A3" s="344" t="s">
        <v>237</v>
      </c>
      <c r="B3" s="307" t="b">
        <v>0</v>
      </c>
      <c r="C3" s="249" t="s">
        <v>10</v>
      </c>
      <c r="D3" s="250" t="s">
        <v>322</v>
      </c>
      <c r="G3" s="124"/>
      <c r="H3" s="404" t="s">
        <v>339</v>
      </c>
      <c r="I3" s="404"/>
      <c r="J3" s="404"/>
      <c r="K3" s="404" t="s">
        <v>340</v>
      </c>
      <c r="L3" s="404"/>
      <c r="M3" s="405"/>
    </row>
    <row r="4" spans="1:13" x14ac:dyDescent="0.4">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4">
      <c r="A5" s="347" t="s">
        <v>2</v>
      </c>
      <c r="B5" s="241">
        <v>200</v>
      </c>
      <c r="C5" s="348" t="s">
        <v>3</v>
      </c>
      <c r="D5" s="349"/>
      <c r="E5" s="13"/>
      <c r="G5" s="371"/>
      <c r="H5" s="123"/>
      <c r="I5" s="123"/>
      <c r="J5" s="123"/>
      <c r="K5" s="123"/>
      <c r="L5" s="123"/>
      <c r="M5" s="372"/>
    </row>
    <row r="6" spans="1:13" s="2" customFormat="1" ht="15" thickBot="1" x14ac:dyDescent="0.45">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4">
      <c r="A7" s="240" t="s">
        <v>865</v>
      </c>
      <c r="B7" s="246">
        <v>4</v>
      </c>
      <c r="C7" s="249" t="s">
        <v>10</v>
      </c>
      <c r="D7" s="244"/>
      <c r="E7" s="13"/>
      <c r="F7" s="4"/>
      <c r="G7" s="4"/>
      <c r="H7" s="4"/>
      <c r="I7" s="4"/>
      <c r="J7" s="4"/>
      <c r="K7" s="4"/>
    </row>
    <row r="8" spans="1:13" s="2" customFormat="1" x14ac:dyDescent="0.4">
      <c r="A8" s="350" t="s">
        <v>866</v>
      </c>
      <c r="B8" s="351">
        <v>200</v>
      </c>
      <c r="C8" s="352" t="s">
        <v>3</v>
      </c>
      <c r="D8" s="244" t="s">
        <v>867</v>
      </c>
      <c r="E8" s="13"/>
      <c r="F8" s="4"/>
      <c r="G8" s="4"/>
      <c r="H8" s="4"/>
      <c r="I8" s="4"/>
      <c r="J8" s="4"/>
      <c r="K8" s="4"/>
    </row>
    <row r="9" spans="1:13" s="2" customFormat="1" ht="15" thickBot="1" x14ac:dyDescent="0.45">
      <c r="A9" s="350" t="s">
        <v>868</v>
      </c>
      <c r="B9" s="351">
        <v>-100</v>
      </c>
      <c r="C9" s="352" t="s">
        <v>3</v>
      </c>
      <c r="D9" s="244" t="s">
        <v>869</v>
      </c>
      <c r="E9" s="13"/>
      <c r="F9" s="4"/>
      <c r="G9" s="4"/>
      <c r="H9" s="4"/>
      <c r="I9" s="4"/>
      <c r="J9" s="4"/>
      <c r="K9" s="4"/>
    </row>
    <row r="10" spans="1:13" s="2" customFormat="1" x14ac:dyDescent="0.4">
      <c r="A10" s="361" t="s">
        <v>908</v>
      </c>
      <c r="B10" s="362" t="s">
        <v>870</v>
      </c>
      <c r="C10" s="363"/>
      <c r="D10" s="356"/>
      <c r="E10" s="13"/>
    </row>
    <row r="11" spans="1:13" s="2" customFormat="1" x14ac:dyDescent="0.4">
      <c r="A11" s="364" t="s">
        <v>876</v>
      </c>
      <c r="B11" s="365">
        <v>250</v>
      </c>
      <c r="C11" s="366" t="s">
        <v>3</v>
      </c>
      <c r="D11" s="244" t="s">
        <v>871</v>
      </c>
      <c r="E11" s="13"/>
    </row>
    <row r="12" spans="1:13" s="2" customFormat="1" x14ac:dyDescent="0.4">
      <c r="A12" s="364" t="s">
        <v>877</v>
      </c>
      <c r="B12" s="365">
        <v>1</v>
      </c>
      <c r="C12" s="366" t="s">
        <v>139</v>
      </c>
      <c r="D12" s="244" t="s">
        <v>872</v>
      </c>
      <c r="E12" s="13"/>
    </row>
    <row r="13" spans="1:13" s="2" customFormat="1" ht="15" thickBot="1" x14ac:dyDescent="0.45">
      <c r="A13" s="367" t="s">
        <v>884</v>
      </c>
      <c r="B13" s="368">
        <v>0</v>
      </c>
      <c r="C13" s="369" t="s">
        <v>3</v>
      </c>
      <c r="D13" s="244" t="s">
        <v>873</v>
      </c>
      <c r="E13" s="13"/>
    </row>
    <row r="14" spans="1:13" s="2" customFormat="1" x14ac:dyDescent="0.4">
      <c r="A14" s="353" t="s">
        <v>909</v>
      </c>
      <c r="B14" s="354" t="s">
        <v>874</v>
      </c>
      <c r="C14" s="355"/>
      <c r="D14" s="356"/>
      <c r="E14" s="13"/>
      <c r="F14" s="4"/>
    </row>
    <row r="15" spans="1:13" s="2" customFormat="1" x14ac:dyDescent="0.4">
      <c r="A15" s="350" t="s">
        <v>878</v>
      </c>
      <c r="B15" s="351">
        <v>100</v>
      </c>
      <c r="C15" s="357" t="s">
        <v>3</v>
      </c>
      <c r="D15" s="244" t="s">
        <v>871</v>
      </c>
      <c r="E15" s="13"/>
      <c r="F15" s="4"/>
    </row>
    <row r="16" spans="1:13" s="2" customFormat="1" x14ac:dyDescent="0.4">
      <c r="A16" s="350" t="s">
        <v>879</v>
      </c>
      <c r="B16" s="351">
        <v>0.5</v>
      </c>
      <c r="C16" s="357" t="s">
        <v>139</v>
      </c>
      <c r="D16" s="244" t="s">
        <v>872</v>
      </c>
      <c r="E16" s="13"/>
      <c r="F16" s="4"/>
    </row>
    <row r="17" spans="1:11" s="2" customFormat="1" ht="15" thickBot="1" x14ac:dyDescent="0.45">
      <c r="A17" s="358" t="s">
        <v>885</v>
      </c>
      <c r="B17" s="359">
        <v>-100</v>
      </c>
      <c r="C17" s="360" t="s">
        <v>3</v>
      </c>
      <c r="D17" s="244" t="s">
        <v>873</v>
      </c>
      <c r="E17" s="13"/>
      <c r="F17" s="4"/>
    </row>
    <row r="18" spans="1:11" s="2" customFormat="1" x14ac:dyDescent="0.4">
      <c r="A18" s="361" t="s">
        <v>910</v>
      </c>
      <c r="B18" s="362" t="s">
        <v>875</v>
      </c>
      <c r="C18" s="363"/>
      <c r="D18" s="356"/>
      <c r="E18" s="13"/>
      <c r="F18" s="4"/>
      <c r="G18" s="4"/>
      <c r="H18" s="4"/>
      <c r="I18" s="4"/>
      <c r="J18" s="4"/>
      <c r="K18" s="4"/>
    </row>
    <row r="19" spans="1:11" s="2" customFormat="1" x14ac:dyDescent="0.4">
      <c r="A19" s="364" t="s">
        <v>880</v>
      </c>
      <c r="B19" s="365">
        <v>0</v>
      </c>
      <c r="C19" s="366" t="s">
        <v>3</v>
      </c>
      <c r="D19" s="244" t="s">
        <v>871</v>
      </c>
      <c r="E19" s="13"/>
      <c r="F19" s="4"/>
      <c r="G19" s="4"/>
      <c r="H19" s="4"/>
      <c r="I19" s="4"/>
      <c r="J19" s="4"/>
      <c r="K19" s="4"/>
    </row>
    <row r="20" spans="1:11" s="2" customFormat="1" x14ac:dyDescent="0.4">
      <c r="A20" s="364" t="s">
        <v>881</v>
      </c>
      <c r="B20" s="365">
        <v>1</v>
      </c>
      <c r="C20" s="366" t="s">
        <v>139</v>
      </c>
      <c r="D20" s="244" t="s">
        <v>872</v>
      </c>
      <c r="E20" s="13"/>
      <c r="F20" s="4"/>
      <c r="G20" s="4"/>
      <c r="H20" s="4"/>
      <c r="I20" s="4"/>
      <c r="J20" s="4"/>
      <c r="K20" s="4"/>
    </row>
    <row r="21" spans="1:11" s="2" customFormat="1" ht="15" thickBot="1" x14ac:dyDescent="0.45">
      <c r="A21" s="367" t="s">
        <v>886</v>
      </c>
      <c r="B21" s="368">
        <v>-10</v>
      </c>
      <c r="C21" s="369" t="s">
        <v>3</v>
      </c>
      <c r="D21" s="244" t="s">
        <v>873</v>
      </c>
      <c r="E21" s="13"/>
      <c r="F21" s="4"/>
      <c r="G21" s="4"/>
      <c r="H21" s="4"/>
      <c r="I21" s="4"/>
      <c r="J21" s="4"/>
      <c r="K21" s="4"/>
    </row>
    <row r="22" spans="1:11" s="2" customFormat="1" x14ac:dyDescent="0.4">
      <c r="A22" s="353" t="s">
        <v>911</v>
      </c>
      <c r="B22" s="354" t="s">
        <v>870</v>
      </c>
      <c r="C22" s="355"/>
      <c r="D22" s="356"/>
      <c r="E22" s="13"/>
      <c r="F22" s="4"/>
      <c r="G22" s="4"/>
      <c r="H22" s="4"/>
      <c r="I22" s="4"/>
      <c r="J22" s="4"/>
      <c r="K22" s="4"/>
    </row>
    <row r="23" spans="1:11" s="2" customFormat="1" x14ac:dyDescent="0.4">
      <c r="A23" s="350" t="s">
        <v>882</v>
      </c>
      <c r="B23" s="351">
        <v>10</v>
      </c>
      <c r="C23" s="357" t="s">
        <v>3</v>
      </c>
      <c r="D23" s="244" t="s">
        <v>871</v>
      </c>
      <c r="E23" s="13"/>
      <c r="F23" s="4"/>
      <c r="G23" s="4"/>
      <c r="H23" s="4"/>
      <c r="I23" s="4"/>
      <c r="J23" s="4"/>
      <c r="K23" s="4"/>
    </row>
    <row r="24" spans="1:11" s="2" customFormat="1" x14ac:dyDescent="0.4">
      <c r="A24" s="350" t="s">
        <v>883</v>
      </c>
      <c r="B24" s="351">
        <v>1</v>
      </c>
      <c r="C24" s="357" t="s">
        <v>139</v>
      </c>
      <c r="D24" s="244" t="s">
        <v>872</v>
      </c>
      <c r="E24" s="13"/>
      <c r="F24" s="4"/>
      <c r="G24" s="4"/>
      <c r="H24" s="4"/>
      <c r="I24" s="4"/>
      <c r="J24" s="4"/>
      <c r="K24" s="4"/>
    </row>
    <row r="25" spans="1:11" s="2" customFormat="1" ht="15" thickBot="1" x14ac:dyDescent="0.45">
      <c r="A25" s="358" t="s">
        <v>887</v>
      </c>
      <c r="B25" s="359">
        <v>0</v>
      </c>
      <c r="C25" s="360" t="s">
        <v>3</v>
      </c>
      <c r="D25" s="244" t="s">
        <v>873</v>
      </c>
      <c r="E25" s="13"/>
      <c r="F25" s="4"/>
      <c r="G25" s="4"/>
      <c r="H25" s="4"/>
      <c r="I25" s="4"/>
      <c r="J25" s="4"/>
      <c r="K25" s="4"/>
    </row>
    <row r="26" spans="1:11" x14ac:dyDescent="0.4">
      <c r="A26" s="347" t="s">
        <v>4</v>
      </c>
      <c r="B26" s="241">
        <v>161.9</v>
      </c>
      <c r="C26" s="370" t="s">
        <v>5</v>
      </c>
      <c r="D26" s="250" t="s">
        <v>326</v>
      </c>
    </row>
    <row r="27" spans="1:11" x14ac:dyDescent="0.4">
      <c r="A27" s="248" t="s">
        <v>6</v>
      </c>
      <c r="B27" s="241">
        <v>152</v>
      </c>
      <c r="C27" s="370" t="s">
        <v>5</v>
      </c>
      <c r="D27" s="250" t="s">
        <v>325</v>
      </c>
    </row>
    <row r="28" spans="1:11" x14ac:dyDescent="0.4">
      <c r="A28" s="248" t="s">
        <v>7</v>
      </c>
      <c r="B28" s="247" t="s">
        <v>8</v>
      </c>
      <c r="C28" s="370"/>
      <c r="D28" s="346"/>
    </row>
    <row r="29" spans="1:11" x14ac:dyDescent="0.4">
      <c r="A29" s="248" t="s">
        <v>489</v>
      </c>
      <c r="B29" s="241">
        <v>0</v>
      </c>
      <c r="C29" s="370" t="s">
        <v>150</v>
      </c>
      <c r="D29" s="250" t="s">
        <v>492</v>
      </c>
    </row>
    <row r="30" spans="1:11" x14ac:dyDescent="0.4">
      <c r="A30" s="248" t="s">
        <v>479</v>
      </c>
      <c r="B30" s="245">
        <v>6</v>
      </c>
      <c r="C30" s="370" t="s">
        <v>13</v>
      </c>
      <c r="D30" s="346"/>
    </row>
    <row r="31" spans="1:11" x14ac:dyDescent="0.4">
      <c r="A31" s="248" t="s">
        <v>9</v>
      </c>
      <c r="B31" s="245">
        <v>10</v>
      </c>
      <c r="C31" s="249" t="s">
        <v>10</v>
      </c>
      <c r="D31" s="346"/>
    </row>
    <row r="32" spans="1:11" x14ac:dyDescent="0.4">
      <c r="A32" s="248" t="s">
        <v>11</v>
      </c>
      <c r="B32" s="245">
        <v>20</v>
      </c>
      <c r="C32" s="249" t="s">
        <v>10</v>
      </c>
      <c r="D32" s="346"/>
    </row>
    <row r="33" spans="1:8" x14ac:dyDescent="0.4">
      <c r="A33" s="248" t="s">
        <v>12</v>
      </c>
      <c r="B33" s="245">
        <v>30</v>
      </c>
      <c r="C33" s="249" t="s">
        <v>10</v>
      </c>
      <c r="D33" s="346"/>
    </row>
    <row r="34" spans="1:8" x14ac:dyDescent="0.4">
      <c r="A34" s="248" t="s">
        <v>544</v>
      </c>
      <c r="B34" s="245">
        <v>4</v>
      </c>
      <c r="C34" s="249" t="s">
        <v>13</v>
      </c>
      <c r="D34" s="346"/>
    </row>
    <row r="35" spans="1:8" x14ac:dyDescent="0.4">
      <c r="A35" s="248" t="s">
        <v>14</v>
      </c>
      <c r="B35" s="241">
        <v>10</v>
      </c>
      <c r="C35" s="249" t="s">
        <v>10</v>
      </c>
      <c r="D35" s="346"/>
      <c r="F35" s="144"/>
      <c r="G35" s="144"/>
      <c r="H35" s="144"/>
    </row>
    <row r="36" spans="1:8" x14ac:dyDescent="0.4">
      <c r="A36" s="248" t="s">
        <v>15</v>
      </c>
      <c r="B36" s="241">
        <v>15</v>
      </c>
      <c r="C36" s="249" t="s">
        <v>10</v>
      </c>
      <c r="D36" s="346"/>
      <c r="F36" s="14"/>
      <c r="G36" s="14"/>
      <c r="H36" s="14"/>
    </row>
    <row r="37" spans="1:8" x14ac:dyDescent="0.4">
      <c r="A37" s="248" t="s">
        <v>16</v>
      </c>
      <c r="B37" s="241">
        <v>20</v>
      </c>
      <c r="C37" s="249" t="s">
        <v>10</v>
      </c>
      <c r="D37" s="346"/>
      <c r="F37" s="14"/>
      <c r="G37" s="14"/>
      <c r="H37" s="14"/>
    </row>
    <row r="38" spans="1:8" x14ac:dyDescent="0.4">
      <c r="A38" s="248" t="s">
        <v>725</v>
      </c>
      <c r="B38" s="307" t="b">
        <v>0</v>
      </c>
      <c r="C38" s="249" t="s">
        <v>10</v>
      </c>
      <c r="D38" s="250" t="s">
        <v>724</v>
      </c>
      <c r="F38" s="14"/>
      <c r="G38" s="14"/>
      <c r="H38" s="14"/>
    </row>
    <row r="39" spans="1:8" x14ac:dyDescent="0.4">
      <c r="A39" s="248" t="s">
        <v>17</v>
      </c>
      <c r="B39" s="241">
        <v>0</v>
      </c>
      <c r="C39" s="249" t="s">
        <v>18</v>
      </c>
      <c r="D39" s="250" t="s">
        <v>327</v>
      </c>
      <c r="F39" s="14"/>
      <c r="G39" s="14"/>
      <c r="H39" s="14"/>
    </row>
    <row r="40" spans="1:8" x14ac:dyDescent="0.4">
      <c r="A40" s="248" t="s">
        <v>19</v>
      </c>
      <c r="B40" s="241">
        <v>0</v>
      </c>
      <c r="C40" s="249" t="s">
        <v>18</v>
      </c>
      <c r="D40" s="250" t="s">
        <v>327</v>
      </c>
      <c r="F40" s="14"/>
      <c r="G40" s="14"/>
      <c r="H40" s="14"/>
    </row>
    <row r="41" spans="1:8" x14ac:dyDescent="0.4">
      <c r="A41" s="248" t="s">
        <v>20</v>
      </c>
      <c r="B41" s="241" t="s">
        <v>110</v>
      </c>
      <c r="C41" s="249" t="s">
        <v>10</v>
      </c>
      <c r="D41" s="250" t="s">
        <v>22</v>
      </c>
      <c r="F41" s="14"/>
      <c r="G41" s="14"/>
      <c r="H41" s="14"/>
    </row>
    <row r="42" spans="1:8" x14ac:dyDescent="0.4">
      <c r="A42" s="248" t="s">
        <v>23</v>
      </c>
      <c r="B42" s="246">
        <v>10</v>
      </c>
      <c r="C42" s="370" t="s">
        <v>24</v>
      </c>
      <c r="D42" s="346"/>
    </row>
    <row r="43" spans="1:8" x14ac:dyDescent="0.4">
      <c r="A43" s="248" t="s">
        <v>25</v>
      </c>
      <c r="B43" s="247">
        <v>3.55</v>
      </c>
      <c r="C43" s="370" t="s">
        <v>26</v>
      </c>
      <c r="D43" s="250" t="s">
        <v>323</v>
      </c>
    </row>
    <row r="44" spans="1:8" x14ac:dyDescent="0.4">
      <c r="A44" s="248" t="s">
        <v>28</v>
      </c>
      <c r="B44" s="247">
        <v>0.15</v>
      </c>
      <c r="C44" s="370" t="s">
        <v>26</v>
      </c>
      <c r="D44" s="250" t="s">
        <v>324</v>
      </c>
    </row>
    <row r="45" spans="1:8" x14ac:dyDescent="0.4">
      <c r="A45" s="248" t="s">
        <v>29</v>
      </c>
      <c r="B45" s="307" t="b">
        <v>1</v>
      </c>
      <c r="C45" s="249" t="s">
        <v>10</v>
      </c>
      <c r="D45" s="346"/>
    </row>
    <row r="46" spans="1:8" x14ac:dyDescent="0.4">
      <c r="A46" s="248" t="s">
        <v>30</v>
      </c>
      <c r="B46" s="307" t="b">
        <v>0</v>
      </c>
      <c r="C46" s="249" t="s">
        <v>10</v>
      </c>
      <c r="D46" s="346"/>
    </row>
    <row r="47" spans="1:8" x14ac:dyDescent="0.4">
      <c r="A47" s="248" t="s">
        <v>31</v>
      </c>
      <c r="B47" s="307" t="b">
        <v>0</v>
      </c>
      <c r="C47" s="249" t="s">
        <v>10</v>
      </c>
      <c r="D47" s="346"/>
    </row>
    <row r="48" spans="1:8" x14ac:dyDescent="0.4">
      <c r="A48" s="248" t="s">
        <v>32</v>
      </c>
      <c r="B48" s="307" t="b">
        <v>1</v>
      </c>
      <c r="C48" s="249" t="s">
        <v>10</v>
      </c>
      <c r="D48" s="250" t="s">
        <v>33</v>
      </c>
    </row>
    <row r="49" spans="1:4" ht="15" thickBot="1" x14ac:dyDescent="0.45">
      <c r="A49" s="373" t="s">
        <v>34</v>
      </c>
      <c r="B49" s="385"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00000000-0002-0000-0000-000000000000}">
      <formula1>"Generation,Energy Storage,Demand"</formula1>
    </dataValidation>
    <dataValidation type="list" allowBlank="1" showInputMessage="1" showErrorMessage="1" sqref="B7" xr:uid="{00000000-0002-0000-0000-000001000000}">
      <formula1>"1,2,3,4"</formula1>
    </dataValidation>
    <dataValidation type="decimal" showInputMessage="1" showErrorMessage="1" sqref="B43" xr:uid="{00000000-0002-0000-0000-000002000000}">
      <formula1>1</formula1>
      <formula2>99999999</formula2>
    </dataValidation>
    <dataValidation type="decimal" allowBlank="1" showInputMessage="1" showErrorMessage="1" sqref="B44" xr:uid="{00000000-0002-0000-0000-000003000000}">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4000000}">
          <x14:formula1>
            <xm:f>'Area values'!$K$2:$K$6</xm:f>
          </x14:formula1>
          <xm:sqref>B2</xm:sqref>
        </x14:dataValidation>
        <x14:dataValidation type="list" allowBlank="1" showInputMessage="1" showErrorMessage="1" xr:uid="{00000000-0002-0000-0000-000005000000}">
          <x14:formula1>
            <xm:f>'Area values'!$L$2:$L$3</xm:f>
          </x14:formula1>
          <xm:sqref>B3 B45:B49 B38</xm:sqref>
        </x14:dataValidation>
        <x14:dataValidation type="list" allowBlank="1" showInputMessage="1" showErrorMessage="1" xr:uid="{00000000-0002-0000-0000-000006000000}">
          <x14:formula1>
            <xm:f>'Area values'!$K$7:$K$8</xm:f>
          </x14:formula1>
          <xm:sqref>B28</xm:sqref>
        </x14:dataValidation>
        <x14:dataValidation type="list" allowBlank="1" showInputMessage="1" showErrorMessage="1" xr:uid="{00000000-0002-0000-0000-000007000000}">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election activeCell="L20" sqref="L20"/>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 min="8" max="8" width="13.15234375" bestFit="1" customWidth="1"/>
    <col min="11" max="11" width="12.53515625" customWidth="1"/>
    <col min="12" max="12" width="11" customWidth="1"/>
  </cols>
  <sheetData>
    <row r="1" spans="1:15" ht="15" thickBot="1" x14ac:dyDescent="0.45">
      <c r="A1" s="33"/>
      <c r="B1" s="406" t="s">
        <v>8</v>
      </c>
      <c r="C1" s="407"/>
      <c r="D1" s="408"/>
      <c r="E1" s="406" t="s">
        <v>35</v>
      </c>
      <c r="F1" s="407"/>
      <c r="G1" s="407"/>
      <c r="H1" s="309"/>
      <c r="K1" s="409" t="s">
        <v>836</v>
      </c>
      <c r="L1" s="410"/>
    </row>
    <row r="2" spans="1:15" x14ac:dyDescent="0.4">
      <c r="A2" s="61" t="s">
        <v>6</v>
      </c>
      <c r="B2" s="62" t="s">
        <v>36</v>
      </c>
      <c r="C2" s="63" t="s">
        <v>37</v>
      </c>
      <c r="D2" s="64" t="s">
        <v>38</v>
      </c>
      <c r="E2" s="62" t="s">
        <v>36</v>
      </c>
      <c r="F2" s="63" t="s">
        <v>37</v>
      </c>
      <c r="G2" s="63" t="s">
        <v>38</v>
      </c>
      <c r="H2" s="65" t="s">
        <v>39</v>
      </c>
      <c r="K2" s="311" t="s">
        <v>214</v>
      </c>
      <c r="L2" s="386" t="b">
        <v>1</v>
      </c>
    </row>
    <row r="3" spans="1:15" x14ac:dyDescent="0.4">
      <c r="A3" s="28" t="s">
        <v>40</v>
      </c>
      <c r="B3" s="38"/>
      <c r="C3" s="29"/>
      <c r="D3" s="41"/>
      <c r="E3" s="38"/>
      <c r="F3" s="29"/>
      <c r="G3" s="29"/>
      <c r="H3" s="34"/>
      <c r="K3" s="312" t="s">
        <v>215</v>
      </c>
      <c r="L3" s="310" t="b">
        <v>0</v>
      </c>
    </row>
    <row r="4" spans="1:15" x14ac:dyDescent="0.4">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4">
      <c r="A5" s="30" t="s">
        <v>42</v>
      </c>
      <c r="B5" s="39">
        <v>5</v>
      </c>
      <c r="C5">
        <v>5</v>
      </c>
      <c r="D5" s="42">
        <v>5</v>
      </c>
      <c r="E5" s="39">
        <v>4</v>
      </c>
      <c r="F5">
        <v>4</v>
      </c>
      <c r="G5">
        <v>4</v>
      </c>
      <c r="H5" s="35">
        <f t="shared" si="0"/>
        <v>5</v>
      </c>
      <c r="K5" s="312" t="s">
        <v>837</v>
      </c>
      <c r="L5" s="310" t="s">
        <v>110</v>
      </c>
    </row>
    <row r="6" spans="1:15" x14ac:dyDescent="0.4">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4">
      <c r="A7" s="30" t="s">
        <v>44</v>
      </c>
      <c r="B7" s="39">
        <v>5</v>
      </c>
      <c r="C7">
        <v>5</v>
      </c>
      <c r="D7" s="42">
        <v>5</v>
      </c>
      <c r="E7" s="39">
        <v>4</v>
      </c>
      <c r="F7">
        <v>4</v>
      </c>
      <c r="G7">
        <v>4</v>
      </c>
      <c r="H7" s="35">
        <f t="shared" si="0"/>
        <v>5</v>
      </c>
      <c r="K7" s="312" t="s">
        <v>8</v>
      </c>
      <c r="L7" s="277"/>
    </row>
    <row r="8" spans="1:15" x14ac:dyDescent="0.4">
      <c r="A8" s="30" t="s">
        <v>45</v>
      </c>
      <c r="B8" s="39">
        <v>0</v>
      </c>
      <c r="C8">
        <v>0</v>
      </c>
      <c r="D8" s="42">
        <v>0</v>
      </c>
      <c r="E8" s="39">
        <v>0</v>
      </c>
      <c r="F8">
        <v>0</v>
      </c>
      <c r="G8">
        <v>0</v>
      </c>
      <c r="H8" s="35">
        <f t="shared" si="0"/>
        <v>0</v>
      </c>
      <c r="K8" s="313" t="s">
        <v>35</v>
      </c>
      <c r="L8" s="56"/>
    </row>
    <row r="9" spans="1:15" x14ac:dyDescent="0.4">
      <c r="A9" s="30" t="s">
        <v>46</v>
      </c>
      <c r="B9" s="39">
        <v>6</v>
      </c>
      <c r="C9">
        <v>6</v>
      </c>
      <c r="D9" s="42">
        <v>6</v>
      </c>
      <c r="E9" s="39">
        <v>6</v>
      </c>
      <c r="F9">
        <v>6</v>
      </c>
      <c r="G9">
        <v>6</v>
      </c>
      <c r="H9" s="35">
        <f t="shared" si="0"/>
        <v>6</v>
      </c>
    </row>
    <row r="10" spans="1:15" x14ac:dyDescent="0.4">
      <c r="A10" s="30" t="s">
        <v>47</v>
      </c>
      <c r="B10" s="39">
        <v>10</v>
      </c>
      <c r="C10">
        <v>10</v>
      </c>
      <c r="D10" s="42">
        <v>10</v>
      </c>
      <c r="E10" s="39">
        <v>10</v>
      </c>
      <c r="F10">
        <v>10</v>
      </c>
      <c r="G10">
        <v>10</v>
      </c>
      <c r="H10" s="35">
        <f t="shared" si="0"/>
        <v>10</v>
      </c>
    </row>
    <row r="11" spans="1:15" x14ac:dyDescent="0.4">
      <c r="A11" s="30" t="s">
        <v>48</v>
      </c>
      <c r="B11" s="39">
        <v>51.5</v>
      </c>
      <c r="C11">
        <v>51.5</v>
      </c>
      <c r="D11" s="42">
        <v>51.5</v>
      </c>
      <c r="E11" s="39">
        <v>51.5</v>
      </c>
      <c r="F11">
        <v>51.5</v>
      </c>
      <c r="G11">
        <v>51.5</v>
      </c>
      <c r="H11" s="35">
        <f t="shared" si="0"/>
        <v>51.5</v>
      </c>
    </row>
    <row r="12" spans="1:15" x14ac:dyDescent="0.4">
      <c r="A12" s="50" t="s">
        <v>49</v>
      </c>
      <c r="B12" s="51">
        <v>47.5</v>
      </c>
      <c r="C12" s="55">
        <v>47.5</v>
      </c>
      <c r="D12" s="56">
        <v>47.5</v>
      </c>
      <c r="E12" s="51">
        <v>47.5</v>
      </c>
      <c r="F12" s="55">
        <v>47.5</v>
      </c>
      <c r="G12" s="55">
        <v>47.5</v>
      </c>
      <c r="H12" s="60">
        <f t="shared" si="0"/>
        <v>47.5</v>
      </c>
    </row>
    <row r="13" spans="1:15" x14ac:dyDescent="0.4">
      <c r="A13" s="28" t="s">
        <v>50</v>
      </c>
      <c r="B13" s="39"/>
      <c r="D13" s="42"/>
      <c r="E13" s="39"/>
      <c r="H13" s="35"/>
    </row>
    <row r="14" spans="1:15" x14ac:dyDescent="0.4">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4">
      <c r="A15" s="30" t="s">
        <v>52</v>
      </c>
      <c r="B15" s="39">
        <v>0.9</v>
      </c>
      <c r="C15" s="7">
        <v>0.96799999999999997</v>
      </c>
      <c r="D15" s="43">
        <v>0.9</v>
      </c>
      <c r="E15" s="39">
        <v>0.9</v>
      </c>
      <c r="F15" s="7">
        <v>0.9</v>
      </c>
      <c r="G15" s="7">
        <v>0.9</v>
      </c>
      <c r="H15" s="36">
        <f t="shared" si="1"/>
        <v>0.96799999999999997</v>
      </c>
    </row>
    <row r="16" spans="1:15" x14ac:dyDescent="0.4">
      <c r="A16" s="30" t="s">
        <v>53</v>
      </c>
      <c r="B16" s="39">
        <v>1.04</v>
      </c>
      <c r="C16" s="7">
        <v>1.1080000000000001</v>
      </c>
      <c r="D16" s="43">
        <v>1.04</v>
      </c>
      <c r="E16" s="39">
        <v>1.04</v>
      </c>
      <c r="F16" s="7">
        <v>1.04</v>
      </c>
      <c r="G16" s="7">
        <v>1.04</v>
      </c>
      <c r="H16" s="36">
        <f t="shared" si="1"/>
        <v>1.1080000000000001</v>
      </c>
    </row>
    <row r="17" spans="1:8" x14ac:dyDescent="0.4">
      <c r="A17" s="30" t="s">
        <v>54</v>
      </c>
      <c r="B17" s="39">
        <v>0.9</v>
      </c>
      <c r="C17" s="7">
        <v>0.96799999999999997</v>
      </c>
      <c r="D17" s="43">
        <v>0.9</v>
      </c>
      <c r="E17" s="39">
        <v>0.9</v>
      </c>
      <c r="F17" s="7">
        <v>0.9</v>
      </c>
      <c r="G17" s="7">
        <v>0.9</v>
      </c>
      <c r="H17" s="36">
        <f t="shared" si="1"/>
        <v>0.96799999999999997</v>
      </c>
    </row>
    <row r="18" spans="1:8" x14ac:dyDescent="0.4">
      <c r="A18" s="30" t="s">
        <v>55</v>
      </c>
      <c r="B18" s="39">
        <v>1.05</v>
      </c>
      <c r="C18" s="7">
        <v>1.1180000000000001</v>
      </c>
      <c r="D18" s="43">
        <v>1.05</v>
      </c>
      <c r="E18" s="39">
        <v>1.05</v>
      </c>
      <c r="F18" s="7">
        <v>1.05</v>
      </c>
      <c r="G18" s="7">
        <v>1.05</v>
      </c>
      <c r="H18" s="36">
        <f t="shared" si="1"/>
        <v>1.1180000000000001</v>
      </c>
    </row>
    <row r="19" spans="1:8" x14ac:dyDescent="0.4">
      <c r="A19" s="30" t="s">
        <v>56</v>
      </c>
      <c r="B19" s="39">
        <v>0.96</v>
      </c>
      <c r="C19" s="7">
        <v>1.028</v>
      </c>
      <c r="D19" s="43">
        <v>0.96</v>
      </c>
      <c r="E19" s="39">
        <v>0.96</v>
      </c>
      <c r="F19" s="7">
        <v>0.96</v>
      </c>
      <c r="G19" s="7">
        <v>0.96</v>
      </c>
      <c r="H19" s="36">
        <f t="shared" si="1"/>
        <v>1.028</v>
      </c>
    </row>
    <row r="20" spans="1:8" x14ac:dyDescent="0.4">
      <c r="A20" s="30" t="s">
        <v>57</v>
      </c>
      <c r="B20" s="39">
        <v>1.1000000000000001</v>
      </c>
      <c r="C20" s="7">
        <v>1.1180000000000001</v>
      </c>
      <c r="D20" s="43">
        <v>1.05</v>
      </c>
      <c r="E20" s="39">
        <v>1.1000000000000001</v>
      </c>
      <c r="F20" s="7">
        <v>1.05</v>
      </c>
      <c r="G20" s="7">
        <v>1.05</v>
      </c>
      <c r="H20" s="36">
        <f t="shared" si="1"/>
        <v>1.1180000000000001</v>
      </c>
    </row>
    <row r="21" spans="1:8" x14ac:dyDescent="0.4">
      <c r="A21" s="30" t="s">
        <v>58</v>
      </c>
      <c r="B21" s="39">
        <v>0.9</v>
      </c>
      <c r="C21" s="7">
        <v>0.9</v>
      </c>
      <c r="D21" s="43">
        <v>0.9</v>
      </c>
      <c r="E21" s="39">
        <v>0.9</v>
      </c>
      <c r="F21" s="7">
        <v>0.9</v>
      </c>
      <c r="G21" s="7">
        <v>0.9</v>
      </c>
      <c r="H21" s="36">
        <f t="shared" si="1"/>
        <v>0.9</v>
      </c>
    </row>
    <row r="22" spans="1:8" x14ac:dyDescent="0.4">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4">
      <c r="A23" s="50" t="s">
        <v>60</v>
      </c>
      <c r="B23" s="51">
        <v>0.9</v>
      </c>
      <c r="C23" s="52">
        <v>0.85</v>
      </c>
      <c r="D23" s="53">
        <v>0.85</v>
      </c>
      <c r="E23" s="51">
        <v>0.9</v>
      </c>
      <c r="F23" s="52">
        <v>0.9</v>
      </c>
      <c r="G23" s="52">
        <v>0.9</v>
      </c>
      <c r="H23" s="54">
        <f t="shared" si="1"/>
        <v>0.85</v>
      </c>
    </row>
    <row r="24" spans="1:8" x14ac:dyDescent="0.4">
      <c r="A24" s="28" t="s">
        <v>61</v>
      </c>
      <c r="B24" s="39"/>
      <c r="D24" s="42"/>
      <c r="E24" s="39"/>
      <c r="H24" s="35"/>
    </row>
    <row r="25" spans="1:8" x14ac:dyDescent="0.4">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4">
      <c r="A26" s="30" t="s">
        <v>63</v>
      </c>
      <c r="B26" s="39">
        <v>0.9</v>
      </c>
      <c r="C26" s="7">
        <v>0.85</v>
      </c>
      <c r="D26" s="43">
        <v>0.85</v>
      </c>
      <c r="E26" s="39">
        <v>0.9</v>
      </c>
      <c r="F26" s="7">
        <v>0.9</v>
      </c>
      <c r="G26" s="7">
        <v>0.9</v>
      </c>
      <c r="H26" s="36">
        <f t="shared" si="2"/>
        <v>0.85</v>
      </c>
    </row>
    <row r="27" spans="1:8" x14ac:dyDescent="0.4">
      <c r="A27" s="30" t="s">
        <v>64</v>
      </c>
      <c r="B27" s="39">
        <v>0.15</v>
      </c>
      <c r="C27">
        <v>0</v>
      </c>
      <c r="D27" s="42">
        <v>0</v>
      </c>
      <c r="E27" s="39">
        <v>0.15</v>
      </c>
      <c r="F27">
        <v>0</v>
      </c>
      <c r="G27">
        <v>0</v>
      </c>
      <c r="H27" s="36">
        <f t="shared" si="2"/>
        <v>0</v>
      </c>
    </row>
    <row r="28" spans="1:8" x14ac:dyDescent="0.4">
      <c r="A28" s="30" t="s">
        <v>65</v>
      </c>
      <c r="B28" s="39">
        <v>0.25</v>
      </c>
      <c r="C28">
        <v>0.15</v>
      </c>
      <c r="D28" s="42">
        <v>0.15</v>
      </c>
      <c r="E28" s="39">
        <v>0.25</v>
      </c>
      <c r="F28">
        <v>0.15</v>
      </c>
      <c r="G28">
        <v>0.15</v>
      </c>
      <c r="H28" s="36">
        <f t="shared" si="2"/>
        <v>0.15</v>
      </c>
    </row>
    <row r="29" spans="1:8" x14ac:dyDescent="0.4">
      <c r="A29" s="30" t="s">
        <v>66</v>
      </c>
      <c r="B29" s="39">
        <v>0.15</v>
      </c>
      <c r="C29">
        <v>0</v>
      </c>
      <c r="D29" s="42">
        <v>0</v>
      </c>
      <c r="E29" s="39">
        <v>0.15</v>
      </c>
      <c r="F29">
        <v>0</v>
      </c>
      <c r="G29">
        <v>0</v>
      </c>
      <c r="H29" s="36">
        <f t="shared" si="2"/>
        <v>0</v>
      </c>
    </row>
    <row r="30" spans="1:8" x14ac:dyDescent="0.4">
      <c r="A30" s="30" t="s">
        <v>67</v>
      </c>
      <c r="B30" s="39">
        <v>0.25</v>
      </c>
      <c r="C30">
        <v>0.15</v>
      </c>
      <c r="D30" s="42">
        <v>0.15</v>
      </c>
      <c r="E30" s="39">
        <v>0.25</v>
      </c>
      <c r="F30">
        <v>0.15</v>
      </c>
      <c r="G30">
        <v>0.15</v>
      </c>
      <c r="H30" s="36">
        <f t="shared" si="2"/>
        <v>0.15</v>
      </c>
    </row>
    <row r="31" spans="1:8" x14ac:dyDescent="0.4">
      <c r="A31" s="30" t="s">
        <v>68</v>
      </c>
      <c r="B31" s="39">
        <v>0.15</v>
      </c>
      <c r="C31">
        <v>0</v>
      </c>
      <c r="D31" s="42">
        <v>0</v>
      </c>
      <c r="E31" s="39">
        <v>0.15</v>
      </c>
      <c r="F31">
        <v>0</v>
      </c>
      <c r="G31">
        <v>0</v>
      </c>
      <c r="H31" s="36">
        <f t="shared" si="2"/>
        <v>0</v>
      </c>
    </row>
    <row r="32" spans="1:8" x14ac:dyDescent="0.4">
      <c r="A32" s="30" t="s">
        <v>69</v>
      </c>
      <c r="B32" s="39">
        <v>0.25</v>
      </c>
      <c r="C32">
        <v>0.15</v>
      </c>
      <c r="D32" s="42">
        <v>0.15</v>
      </c>
      <c r="E32" s="39">
        <v>0.25</v>
      </c>
      <c r="F32">
        <v>0.15</v>
      </c>
      <c r="G32">
        <v>0.15</v>
      </c>
      <c r="H32" s="36">
        <f t="shared" si="2"/>
        <v>0.15</v>
      </c>
    </row>
    <row r="33" spans="1:8" x14ac:dyDescent="0.4">
      <c r="A33" s="30" t="s">
        <v>70</v>
      </c>
      <c r="B33" s="39">
        <v>0.9</v>
      </c>
      <c r="C33" s="7">
        <v>0.85</v>
      </c>
      <c r="D33" s="43">
        <v>0.85</v>
      </c>
      <c r="E33" s="39">
        <v>0.9</v>
      </c>
      <c r="F33" s="7">
        <v>0.9</v>
      </c>
      <c r="G33" s="7">
        <v>0.9</v>
      </c>
      <c r="H33" s="36">
        <f t="shared" si="2"/>
        <v>0.85</v>
      </c>
    </row>
    <row r="34" spans="1:8" x14ac:dyDescent="0.4">
      <c r="A34" s="50" t="s">
        <v>71</v>
      </c>
      <c r="B34" s="51">
        <v>1.5</v>
      </c>
      <c r="C34" s="55">
        <v>1.5</v>
      </c>
      <c r="D34" s="56">
        <v>1.5</v>
      </c>
      <c r="E34" s="51">
        <v>1.5</v>
      </c>
      <c r="F34" s="55">
        <v>1.5</v>
      </c>
      <c r="G34" s="55">
        <v>1.5</v>
      </c>
      <c r="H34" s="54">
        <f t="shared" si="2"/>
        <v>1.5</v>
      </c>
    </row>
    <row r="35" spans="1:8" x14ac:dyDescent="0.4">
      <c r="A35" s="28" t="s">
        <v>72</v>
      </c>
      <c r="B35" s="39"/>
      <c r="D35" s="42"/>
      <c r="E35" s="39"/>
      <c r="H35" s="35"/>
    </row>
    <row r="36" spans="1:8" x14ac:dyDescent="0.4">
      <c r="A36" s="45" t="s">
        <v>73</v>
      </c>
      <c r="B36" s="46">
        <v>1.2</v>
      </c>
      <c r="C36" s="47">
        <v>1.3</v>
      </c>
      <c r="D36" s="48">
        <v>1.3</v>
      </c>
      <c r="E36" s="46">
        <v>1.2</v>
      </c>
      <c r="F36" s="47">
        <v>1.3</v>
      </c>
      <c r="G36" s="47">
        <v>1.3</v>
      </c>
      <c r="H36" s="49">
        <f>CHOOSE(IF(inp_Un&lt;110,0,1)+IF(inp_Un&gt;=300,1,0)+IF(inp_Area="DK1",0,3) + 1,B36,C36,D36,E36,F36,G36)</f>
        <v>1.3</v>
      </c>
    </row>
    <row r="37" spans="1:8" x14ac:dyDescent="0.4">
      <c r="A37" s="30" t="s">
        <v>74</v>
      </c>
      <c r="B37" s="39">
        <v>5</v>
      </c>
      <c r="C37">
        <v>0.1</v>
      </c>
      <c r="D37" s="42">
        <v>0.1</v>
      </c>
      <c r="E37" s="39">
        <v>5</v>
      </c>
      <c r="F37">
        <v>0.1</v>
      </c>
      <c r="G37">
        <v>0.1</v>
      </c>
      <c r="H37" s="36">
        <f>CHOOSE(IF(inp_Un&lt;110,0,1)+IF(inp_Un&gt;=300,1,0)+IF(inp_Area="DK1",0,3) + 1,B37,C37,D37,E37,F37,G37)</f>
        <v>0.1</v>
      </c>
    </row>
    <row r="38" spans="1:8" x14ac:dyDescent="0.4">
      <c r="A38" s="30" t="s">
        <v>75</v>
      </c>
      <c r="B38" s="39">
        <v>1.1499999999999999</v>
      </c>
      <c r="C38" s="7">
        <v>1.2</v>
      </c>
      <c r="D38" s="43">
        <v>1.2</v>
      </c>
      <c r="E38" s="39">
        <v>1.1499999999999999</v>
      </c>
      <c r="F38" s="7">
        <v>1.2</v>
      </c>
      <c r="G38" s="7">
        <v>1.2</v>
      </c>
      <c r="H38" s="36">
        <f>CHOOSE(IF(inp_Un&lt;110,0,1)+IF(inp_Un&gt;=300,1,0)+IF(inp_Area="DK1",0,3) + 1,B38,C38,D38,E38,F38,G38)</f>
        <v>1.2</v>
      </c>
    </row>
    <row r="39" spans="1:8" ht="15" thickBot="1" x14ac:dyDescent="0.45">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160" activePane="bottomLeft" state="frozen"/>
      <selection pane="bottomLeft" activeCell="D171" sqref="D171"/>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customWidth="1"/>
    <col min="13" max="13" width="8.3828125" style="1" bestFit="1" customWidth="1"/>
    <col min="14" max="14" width="14.69140625" style="1" bestFit="1" customWidth="1"/>
    <col min="15" max="15" width="20.69140625" style="1" customWidth="1"/>
    <col min="16" max="16" width="18.3828125" style="96" bestFit="1" customWidth="1"/>
    <col min="17" max="17" width="9.69140625" style="96" bestFit="1" customWidth="1"/>
    <col min="18" max="18" width="35" style="96" bestFit="1" customWidth="1"/>
    <col min="19" max="19" width="16.53515625" style="96" bestFit="1" customWidth="1"/>
    <col min="20" max="20" width="14.3828125" style="1" bestFit="1" customWidth="1"/>
    <col min="21" max="21" width="9.69140625" style="1" bestFit="1" customWidth="1"/>
    <col min="22" max="22" width="25" style="1" bestFit="1" customWidth="1"/>
    <col min="23" max="23" width="16.53515625" style="1" customWidth="1"/>
    <col min="24" max="24" width="14.3828125" style="96" bestFit="1" customWidth="1"/>
    <col min="25" max="25" width="9.69140625" style="96" bestFit="1" customWidth="1"/>
    <col min="26" max="26" width="12.3828125" style="96" bestFit="1" customWidth="1"/>
    <col min="27" max="27" width="16.53515625" style="96" bestFit="1" customWidth="1"/>
    <col min="28" max="28" width="14.3828125" style="1" bestFit="1" customWidth="1"/>
    <col min="29" max="29" width="9.69140625" style="1" bestFit="1" customWidth="1"/>
    <col min="30" max="30" width="12.3828125" style="1" bestFit="1" customWidth="1"/>
    <col min="31" max="31" width="16.53515625" style="1" bestFit="1" customWidth="1"/>
    <col min="32" max="32" width="14.3828125" style="96" bestFit="1" customWidth="1"/>
    <col min="33" max="33" width="9.69140625" style="96" bestFit="1" customWidth="1"/>
    <col min="34" max="34" width="12.3828125" style="96" bestFit="1" customWidth="1"/>
    <col min="35" max="35" width="16.53515625" style="96" bestFit="1" customWidth="1"/>
    <col min="36" max="36" width="14.3828125" style="1" bestFit="1" customWidth="1"/>
    <col min="37" max="37" width="9.69140625" style="1" bestFit="1" customWidth="1"/>
    <col min="38" max="38" width="12.3828125" style="1" bestFit="1" customWidth="1"/>
    <col min="39" max="39" width="16.53515625" style="1" bestFit="1" customWidth="1"/>
    <col min="40" max="40" width="14.3828125" style="96" bestFit="1" customWidth="1"/>
    <col min="41" max="41" width="9.69140625" style="96" bestFit="1" customWidth="1"/>
    <col min="42" max="42" width="12.3828125" style="96" bestFit="1" customWidth="1"/>
    <col min="43" max="43" width="16.53515625" style="96"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96" customWidth="1"/>
    <col min="49" max="49" width="9.69140625" style="96" bestFit="1" customWidth="1"/>
    <col min="50" max="50" width="12.3828125" style="96" bestFit="1" customWidth="1"/>
    <col min="51" max="51" width="16.53515625" style="96"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96" customWidth="1"/>
    <col min="57" max="57" width="9.69140625" style="96" bestFit="1" customWidth="1"/>
    <col min="58" max="58" width="12.3828125" style="96" bestFit="1" customWidth="1"/>
    <col min="59" max="59" width="16.53515625" style="96" bestFit="1" customWidth="1"/>
    <col min="60" max="60" width="13" style="1" customWidth="1"/>
    <col min="61" max="61" width="9.69140625" style="1" bestFit="1" customWidth="1"/>
    <col min="62" max="62" width="12.3828125" style="1" bestFit="1" customWidth="1"/>
    <col min="63" max="63" width="16.53515625" style="68" bestFit="1" customWidth="1"/>
    <col min="64" max="64" width="12.84375" style="96" customWidth="1"/>
    <col min="65" max="65" width="9.69140625" style="96" bestFit="1" customWidth="1"/>
    <col min="66" max="66" width="12.3828125" style="96" bestFit="1" customWidth="1"/>
    <col min="67" max="67" width="16.53515625" style="96" bestFit="1" customWidth="1"/>
    <col min="68" max="16384" width="9.15234375" style="1"/>
  </cols>
  <sheetData>
    <row r="1" spans="1:67" x14ac:dyDescent="0.4">
      <c r="A1" s="400" t="s">
        <v>490</v>
      </c>
      <c r="B1" s="400"/>
      <c r="C1" s="400"/>
      <c r="D1" s="400"/>
      <c r="E1" s="401" t="s">
        <v>491</v>
      </c>
      <c r="F1" s="402"/>
      <c r="G1" s="402"/>
      <c r="H1" s="402"/>
      <c r="I1" s="402"/>
      <c r="J1" s="402"/>
      <c r="K1" s="402"/>
      <c r="L1" s="402"/>
      <c r="M1" s="402"/>
      <c r="N1" s="402"/>
      <c r="O1" s="403"/>
      <c r="P1" s="399" t="s">
        <v>77</v>
      </c>
      <c r="Q1" s="399"/>
      <c r="R1" s="399"/>
      <c r="S1" s="399"/>
      <c r="T1" s="400" t="s">
        <v>78</v>
      </c>
      <c r="U1" s="400"/>
      <c r="V1" s="400"/>
      <c r="W1" s="400"/>
      <c r="X1" s="399" t="s">
        <v>79</v>
      </c>
      <c r="Y1" s="399"/>
      <c r="Z1" s="399"/>
      <c r="AA1" s="399"/>
      <c r="AB1" s="400" t="s">
        <v>80</v>
      </c>
      <c r="AC1" s="400"/>
      <c r="AD1" s="400"/>
      <c r="AE1" s="400"/>
      <c r="AF1" s="399" t="s">
        <v>81</v>
      </c>
      <c r="AG1" s="399"/>
      <c r="AH1" s="399"/>
      <c r="AI1" s="399"/>
      <c r="AJ1" s="400" t="s">
        <v>82</v>
      </c>
      <c r="AK1" s="400"/>
      <c r="AL1" s="400"/>
      <c r="AM1" s="400"/>
      <c r="AN1" s="399" t="s">
        <v>83</v>
      </c>
      <c r="AO1" s="399"/>
      <c r="AP1" s="399"/>
      <c r="AQ1" s="399"/>
      <c r="AR1" s="400" t="s">
        <v>84</v>
      </c>
      <c r="AS1" s="400"/>
      <c r="AT1" s="400"/>
      <c r="AU1" s="400"/>
      <c r="AV1" s="399" t="s">
        <v>85</v>
      </c>
      <c r="AW1" s="399"/>
      <c r="AX1" s="399"/>
      <c r="AY1" s="399"/>
      <c r="AZ1" s="400" t="s">
        <v>86</v>
      </c>
      <c r="BA1" s="400"/>
      <c r="BB1" s="400"/>
      <c r="BC1" s="400"/>
      <c r="BD1" s="399" t="s">
        <v>87</v>
      </c>
      <c r="BE1" s="399"/>
      <c r="BF1" s="399"/>
      <c r="BG1" s="399"/>
      <c r="BH1" s="400" t="s">
        <v>88</v>
      </c>
      <c r="BI1" s="400"/>
      <c r="BJ1" s="400"/>
      <c r="BK1" s="400"/>
      <c r="BL1" s="399" t="s">
        <v>495</v>
      </c>
      <c r="BM1" s="399"/>
      <c r="BN1" s="399"/>
      <c r="BO1" s="399"/>
    </row>
    <row r="2" spans="1:67" s="11" customFormat="1" ht="30" customHeight="1" x14ac:dyDescent="0.4">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4">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4">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4">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4">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4">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4">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4">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4">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4">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4">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4">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4">
      <c r="A14" s="1">
        <v>12</v>
      </c>
      <c r="B14" s="11" t="b">
        <v>1</v>
      </c>
      <c r="C14" s="11"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4">
      <c r="A15" s="1">
        <v>13</v>
      </c>
      <c r="B15" s="11" t="b">
        <v>1</v>
      </c>
      <c r="C15" s="11"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4">
      <c r="A16" s="1">
        <v>14</v>
      </c>
      <c r="B16" s="11" t="b">
        <v>1</v>
      </c>
      <c r="C16" s="11"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4">
      <c r="A17" s="1">
        <v>15</v>
      </c>
      <c r="B17" s="11" t="b">
        <v>1</v>
      </c>
      <c r="C17" s="11"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4">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4">
      <c r="A19" s="1">
        <v>17</v>
      </c>
      <c r="B19" s="11" t="b">
        <v>1</v>
      </c>
      <c r="C19" s="11"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4">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4">
      <c r="A21" s="1">
        <v>19</v>
      </c>
      <c r="B21" s="11" t="b">
        <v>1</v>
      </c>
      <c r="C21" s="11"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4">
      <c r="A22" s="1">
        <v>20</v>
      </c>
      <c r="B22" s="11" t="b">
        <v>1</v>
      </c>
      <c r="C22" s="11"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4">
      <c r="A23" s="1">
        <v>21</v>
      </c>
      <c r="B23" s="11" t="b">
        <v>1</v>
      </c>
      <c r="C23" s="11"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4">
      <c r="A24" s="1">
        <v>22</v>
      </c>
      <c r="B24" s="11" t="b">
        <v>1</v>
      </c>
      <c r="C24" s="11"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4">
      <c r="A25" s="1">
        <v>23</v>
      </c>
      <c r="B25" s="11" t="b">
        <v>1</v>
      </c>
      <c r="C25" s="11"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4">
      <c r="A26" s="1">
        <v>24</v>
      </c>
      <c r="B26" s="11" t="b">
        <v>1</v>
      </c>
      <c r="C26" s="11"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4">
      <c r="A27" s="1">
        <v>25</v>
      </c>
      <c r="B27" s="11" t="b">
        <v>1</v>
      </c>
      <c r="C27" s="11"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4">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4">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4">
      <c r="A30" s="1">
        <v>28</v>
      </c>
      <c r="B30" s="11" t="b">
        <v>1</v>
      </c>
      <c r="C30" s="11"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4">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4">
      <c r="A32" s="1">
        <v>30</v>
      </c>
      <c r="B32" s="11" t="b">
        <v>1</v>
      </c>
      <c r="C32" s="11"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4">
      <c r="A33" s="1">
        <v>31</v>
      </c>
      <c r="B33" s="11" t="b">
        <v>1</v>
      </c>
      <c r="C33" s="11"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4">
      <c r="A34" s="1">
        <v>32</v>
      </c>
      <c r="B34" s="11" t="b">
        <v>1</v>
      </c>
      <c r="C34" s="11"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4">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4">
      <c r="A36" s="1">
        <v>34</v>
      </c>
      <c r="B36" s="11" t="b">
        <v>1</v>
      </c>
      <c r="C36" s="11"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4">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4">
      <c r="A38" s="1">
        <v>36</v>
      </c>
      <c r="B38" s="11" t="b">
        <v>1</v>
      </c>
      <c r="C38" s="11"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4">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4">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4">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4">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4">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4">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4">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4">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4">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4">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4">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4">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4">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4">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4">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4">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4">
      <c r="A55" s="1">
        <v>53</v>
      </c>
      <c r="B55" s="11" t="b">
        <v>1</v>
      </c>
      <c r="C55" s="11"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4">
      <c r="A56" s="1">
        <v>54</v>
      </c>
      <c r="B56" s="11" t="b">
        <v>1</v>
      </c>
      <c r="C56" s="11"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4">
      <c r="A57" s="1">
        <v>55</v>
      </c>
      <c r="B57" s="11" t="b">
        <v>1</v>
      </c>
      <c r="C57" s="11"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4">
      <c r="A58" s="1">
        <v>56</v>
      </c>
      <c r="B58" s="11" t="b">
        <v>1</v>
      </c>
      <c r="C58" s="11"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4">
      <c r="A59" s="1">
        <v>57</v>
      </c>
      <c r="B59" s="80" t="b">
        <f t="shared" ref="B59:C61" si="19">inp_Un&gt;=110</f>
        <v>1</v>
      </c>
      <c r="C59" s="80" t="b">
        <f t="shared" si="19"/>
        <v>1</v>
      </c>
      <c r="D59" s="79" t="s">
        <v>947</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398"/>
      <c r="T59" s="81" t="s">
        <v>943</v>
      </c>
      <c r="U59" s="81">
        <v>1</v>
      </c>
      <c r="V59" s="81">
        <v>3</v>
      </c>
      <c r="W59" s="81"/>
      <c r="X59" s="396" t="s">
        <v>943</v>
      </c>
      <c r="Y59" s="396">
        <v>16</v>
      </c>
      <c r="Z59" s="396">
        <v>5</v>
      </c>
      <c r="AA59" s="396"/>
      <c r="AB59" s="81" t="s">
        <v>943</v>
      </c>
      <c r="AC59" s="81">
        <v>31</v>
      </c>
      <c r="AD59" s="81">
        <v>9</v>
      </c>
      <c r="AE59" s="81"/>
      <c r="AF59" s="396" t="s">
        <v>943</v>
      </c>
      <c r="AG59" s="396">
        <v>46</v>
      </c>
      <c r="AH59" s="396">
        <v>17</v>
      </c>
      <c r="AI59" s="396"/>
      <c r="AJ59" s="81" t="s">
        <v>943</v>
      </c>
      <c r="AK59" s="81">
        <v>61</v>
      </c>
      <c r="AL59" s="81">
        <v>33</v>
      </c>
      <c r="AM59" s="81"/>
      <c r="AN59" s="396" t="s">
        <v>943</v>
      </c>
      <c r="AO59" s="396">
        <v>76</v>
      </c>
      <c r="AP59" s="396">
        <v>0</v>
      </c>
      <c r="AQ59" s="397"/>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4">
      <c r="A60" s="1">
        <v>58</v>
      </c>
      <c r="B60" s="80" t="b">
        <f t="shared" si="19"/>
        <v>1</v>
      </c>
      <c r="C60" s="80" t="b">
        <f t="shared" si="19"/>
        <v>1</v>
      </c>
      <c r="D60" s="79" t="s">
        <v>948</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943</v>
      </c>
      <c r="Q60" s="89">
        <v>-1</v>
      </c>
      <c r="R60" s="89">
        <v>0</v>
      </c>
      <c r="S60" s="398"/>
      <c r="T60" s="81" t="s">
        <v>943</v>
      </c>
      <c r="U60" s="81">
        <v>1</v>
      </c>
      <c r="V60" s="81">
        <v>3</v>
      </c>
      <c r="W60" s="81"/>
      <c r="X60" s="396" t="s">
        <v>943</v>
      </c>
      <c r="Y60" s="396">
        <v>16</v>
      </c>
      <c r="Z60" s="396">
        <v>5</v>
      </c>
      <c r="AA60" s="396"/>
      <c r="AB60" s="81" t="s">
        <v>943</v>
      </c>
      <c r="AC60" s="81">
        <v>31</v>
      </c>
      <c r="AD60" s="81">
        <v>9</v>
      </c>
      <c r="AE60" s="81"/>
      <c r="AF60" s="396" t="s">
        <v>943</v>
      </c>
      <c r="AG60" s="396">
        <v>46</v>
      </c>
      <c r="AH60" s="396">
        <v>17</v>
      </c>
      <c r="AI60" s="396"/>
      <c r="AJ60" s="81" t="s">
        <v>943</v>
      </c>
      <c r="AK60" s="81">
        <v>61</v>
      </c>
      <c r="AL60" s="81">
        <v>33</v>
      </c>
      <c r="AM60" s="81"/>
      <c r="AN60" s="396" t="s">
        <v>943</v>
      </c>
      <c r="AO60" s="396">
        <v>76</v>
      </c>
      <c r="AP60" s="396">
        <v>0</v>
      </c>
      <c r="AQ60" s="397"/>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4">
      <c r="A61" s="1">
        <v>59</v>
      </c>
      <c r="B61" s="80" t="b">
        <f t="shared" si="19"/>
        <v>1</v>
      </c>
      <c r="C61" s="80" t="b">
        <f t="shared" si="19"/>
        <v>1</v>
      </c>
      <c r="D61" s="79" t="s">
        <v>949</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943</v>
      </c>
      <c r="Q61" s="89">
        <v>-1</v>
      </c>
      <c r="R61" s="89">
        <v>0</v>
      </c>
      <c r="S61" s="398"/>
      <c r="T61" s="81" t="s">
        <v>115</v>
      </c>
      <c r="U61" s="81">
        <v>1</v>
      </c>
      <c r="V61" s="395">
        <v>0.2</v>
      </c>
      <c r="W61" s="81">
        <v>0.45</v>
      </c>
      <c r="X61" s="396" t="s">
        <v>943</v>
      </c>
      <c r="Y61" s="396">
        <f>U61+W61+0.2</f>
        <v>1.65</v>
      </c>
      <c r="Z61" s="396">
        <v>17</v>
      </c>
      <c r="AA61" s="396"/>
      <c r="AB61" s="81" t="s">
        <v>943</v>
      </c>
      <c r="AC61" s="81">
        <v>30</v>
      </c>
      <c r="AD61" s="81">
        <v>0</v>
      </c>
      <c r="AE61" s="81"/>
      <c r="AF61" s="396"/>
      <c r="AG61" s="396"/>
      <c r="AH61" s="396"/>
      <c r="AI61" s="396"/>
      <c r="AJ61" s="81"/>
      <c r="AK61" s="81"/>
      <c r="AL61" s="81"/>
      <c r="AM61" s="81"/>
      <c r="AN61" s="396"/>
      <c r="AO61" s="396"/>
      <c r="AP61" s="396"/>
      <c r="AQ61" s="397"/>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4">
      <c r="A62" s="1">
        <v>60</v>
      </c>
      <c r="B62" s="11" t="b">
        <v>1</v>
      </c>
      <c r="C62" s="11"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4">
      <c r="A63" s="1">
        <v>61</v>
      </c>
      <c r="B63" s="11" t="b">
        <v>1</v>
      </c>
      <c r="C63" s="11"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4">
      <c r="A64" s="1">
        <v>62</v>
      </c>
      <c r="B64" s="11" t="b">
        <v>1</v>
      </c>
      <c r="C64" s="11"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4">
      <c r="A65" s="1">
        <v>63</v>
      </c>
      <c r="B65" s="11" t="b">
        <v>1</v>
      </c>
      <c r="C65" s="11"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4">
      <c r="A66" s="1">
        <v>64</v>
      </c>
      <c r="B66" s="11" t="b">
        <v>1</v>
      </c>
      <c r="C66" s="11"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4">
      <c r="A67" s="1">
        <v>65</v>
      </c>
      <c r="B67" s="11" t="b">
        <v>1</v>
      </c>
      <c r="C67" s="11"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4">
      <c r="A68" s="1">
        <v>66</v>
      </c>
      <c r="B68" s="11" t="b">
        <v>1</v>
      </c>
      <c r="C68" s="11"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4">
      <c r="A69" s="1">
        <v>67</v>
      </c>
      <c r="B69" s="11" t="b">
        <v>1</v>
      </c>
      <c r="C69" s="11"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4">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4">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4">
      <c r="A72" s="1">
        <v>70</v>
      </c>
      <c r="B72" s="11" t="b">
        <v>1</v>
      </c>
      <c r="C72" s="11"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4">
      <c r="A73" s="1">
        <v>71</v>
      </c>
      <c r="B73" s="11" t="b">
        <v>1</v>
      </c>
      <c r="C73" s="11"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4">
      <c r="A74" s="1">
        <v>72</v>
      </c>
      <c r="B74" s="11" t="b">
        <v>1</v>
      </c>
      <c r="C74" s="11"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4">
      <c r="A75" s="1">
        <v>73</v>
      </c>
      <c r="B75" s="11" t="b">
        <v>1</v>
      </c>
      <c r="C75" s="11"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4">
      <c r="A76" s="1">
        <v>74</v>
      </c>
      <c r="B76" s="11" t="b">
        <v>1</v>
      </c>
      <c r="C76" s="11"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4">
      <c r="A77" s="1">
        <v>75</v>
      </c>
      <c r="B77" s="11" t="b">
        <v>1</v>
      </c>
      <c r="C77" s="11"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4">
      <c r="A78" s="1">
        <v>76</v>
      </c>
      <c r="B78" s="11" t="b">
        <v>1</v>
      </c>
      <c r="C78" s="11"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4">
      <c r="A79" s="1">
        <v>77</v>
      </c>
      <c r="B79" s="11" t="b">
        <v>1</v>
      </c>
      <c r="C79" s="11"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4">
      <c r="A80" s="1">
        <v>78</v>
      </c>
      <c r="B80" s="11" t="b">
        <v>1</v>
      </c>
      <c r="C80" s="11"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4">
      <c r="A81" s="1">
        <v>79</v>
      </c>
      <c r="B81" s="11" t="b">
        <v>1</v>
      </c>
      <c r="C81" s="11"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4">
      <c r="A82" s="1">
        <v>80</v>
      </c>
      <c r="B82" s="11" t="b">
        <v>1</v>
      </c>
      <c r="C82" s="11"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4">
      <c r="A86" s="1">
        <v>84</v>
      </c>
      <c r="B86" s="11" t="b">
        <v>1</v>
      </c>
      <c r="C86" s="11"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4">
      <c r="A87" s="1">
        <v>85</v>
      </c>
      <c r="B87" s="11" t="b">
        <v>1</v>
      </c>
      <c r="C87" s="11"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4">
      <c r="A88" s="1">
        <v>86</v>
      </c>
      <c r="B88" s="11" t="b">
        <v>1</v>
      </c>
      <c r="C88" s="11"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4">
      <c r="A89" s="1">
        <v>87</v>
      </c>
      <c r="B89" s="11" t="b">
        <v>1</v>
      </c>
      <c r="C89" s="11"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4">
      <c r="A90" s="1">
        <v>88</v>
      </c>
      <c r="B90" s="11" t="b">
        <v>1</v>
      </c>
      <c r="C90" s="11"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4">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4">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4">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4">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4">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4">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4">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4">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4">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4">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4">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4">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4">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4">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4">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4">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4">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4">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4">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4">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4">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4">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4">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4">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4">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4">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4">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4">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4">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4">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4">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4">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4">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4">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4">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4">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4">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4">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4">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4">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4">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4">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4">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4">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4">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4">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4">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4">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4">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4">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4">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4">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4">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4">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4">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4">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4">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4">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4">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4">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4">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4">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4">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4">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4">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4">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4">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4">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4">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4">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4">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4">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4">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4">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4">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4">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4">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4">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4">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4">
      <c r="A170" s="1">
        <v>168</v>
      </c>
      <c r="B170" s="80" t="b">
        <f t="shared" si="80"/>
        <v>1</v>
      </c>
      <c r="C170" s="80" t="b">
        <f t="shared" si="80"/>
        <v>1</v>
      </c>
      <c r="D170" s="79" t="s">
        <v>956</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4">
      <c r="A171" s="1">
        <v>169</v>
      </c>
      <c r="B171" s="80" t="b">
        <f t="shared" si="80"/>
        <v>1</v>
      </c>
      <c r="C171" s="80" t="b">
        <f t="shared" si="80"/>
        <v>1</v>
      </c>
      <c r="D171" s="79" t="s">
        <v>957</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4">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4">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4">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4">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4">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4">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4">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4">
      <c r="A179" s="1">
        <v>177</v>
      </c>
      <c r="B179" s="80" t="b">
        <f t="shared" si="80"/>
        <v>1</v>
      </c>
      <c r="C179" s="80" t="b">
        <f t="shared" si="80"/>
        <v>1</v>
      </c>
      <c r="D179" s="79" t="s">
        <v>950</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943</v>
      </c>
      <c r="Q179" s="89">
        <v>-1</v>
      </c>
      <c r="R179" s="89">
        <v>0</v>
      </c>
      <c r="S179" s="89"/>
      <c r="T179" s="81"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4">
      <c r="A180" s="1">
        <v>178</v>
      </c>
      <c r="B180" s="80" t="b">
        <f t="shared" si="80"/>
        <v>1</v>
      </c>
      <c r="C180" s="80" t="b">
        <f t="shared" si="80"/>
        <v>1</v>
      </c>
      <c r="D180" s="79" t="s">
        <v>951</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943</v>
      </c>
      <c r="Q180" s="89">
        <v>-1</v>
      </c>
      <c r="R180" s="89">
        <v>0</v>
      </c>
      <c r="S180" s="89"/>
      <c r="T180" s="81"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4">
      <c r="A181" s="1">
        <v>179</v>
      </c>
      <c r="B181" s="80" t="b">
        <f t="shared" si="80"/>
        <v>1</v>
      </c>
      <c r="C181" s="80" t="b">
        <f t="shared" si="80"/>
        <v>1</v>
      </c>
      <c r="D181" s="79" t="s">
        <v>930</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4">
      <c r="A182" s="1">
        <v>180</v>
      </c>
      <c r="B182" s="80" t="b">
        <f t="shared" si="80"/>
        <v>1</v>
      </c>
      <c r="C182" s="80" t="b">
        <f t="shared" si="80"/>
        <v>1</v>
      </c>
      <c r="D182" s="79" t="s">
        <v>931</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4">
      <c r="A183" s="1">
        <v>181</v>
      </c>
      <c r="B183" s="80" t="b">
        <f t="shared" si="80"/>
        <v>1</v>
      </c>
      <c r="C183" s="80" t="b">
        <f t="shared" si="80"/>
        <v>1</v>
      </c>
      <c r="D183" s="79" t="s">
        <v>932</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4">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4">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4">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4">
      <c r="O187" s="22"/>
      <c r="AD187" s="5"/>
      <c r="AE187" s="5"/>
      <c r="AH187" s="88"/>
      <c r="AI187" s="88"/>
    </row>
    <row r="188" spans="1:67" x14ac:dyDescent="0.4">
      <c r="O188" s="6"/>
      <c r="AH188" s="88"/>
      <c r="AI188" s="88"/>
    </row>
    <row r="189" spans="1:67" x14ac:dyDescent="0.4">
      <c r="O189" s="6"/>
      <c r="AH189" s="88"/>
      <c r="AI189" s="88"/>
    </row>
    <row r="190" spans="1:67" x14ac:dyDescent="0.4">
      <c r="O190" s="6"/>
      <c r="AH190" s="88"/>
      <c r="AI190" s="88"/>
    </row>
    <row r="191" spans="1:67" x14ac:dyDescent="0.4">
      <c r="O191" s="6"/>
      <c r="AH191" s="88"/>
      <c r="AI191" s="88"/>
    </row>
    <row r="192" spans="1:67" x14ac:dyDescent="0.4">
      <c r="O192" s="6"/>
      <c r="AH192" s="88"/>
      <c r="AI192" s="88"/>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83"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types'!$A$2:$A$951</xm:f>
          </x14:formula1>
          <xm:sqref>T38 AF45:AF95 AB45:AB95 X45:X95 T45:T69 AJ40:AJ95 AR62:AR95 AR3:AR58 AN45:AN95 X179:X183 T179:T183 AJ179:AJ180 AF179:AF181 AB179:AB183 T36 T97 AF97 AB97 X97 BD3:BD39 AF3:AF38 AJ3:AJ38 AN3:AN38 AB3:AB38 X30:X38 T30:T34 AV3:AV42 X3:X27 T3:T27 T136:T137 AF40:AF42 X40:X42 T40:T42 AB40:AB42 BH3:BH95 AZ3:AZ95 BD44:BD95 AV44:AV95 T71:T95 T197:T216 BL44:BL95 BL3:BL39 AR106:AR109 T106:T109 BH106:BH109 BL107:BL108 AJ106:AJ109 AV106:AV109 X106:X109 AB106:AB109 AF106:AF109 AZ106:AZ109</xm:sqref>
        </x14:dataValidation>
        <x14:dataValidation type="list" allowBlank="1" showInputMessage="1" showErrorMessage="1" xr:uid="{00000000-0002-0000-0200-000004000000}">
          <x14:formula1>
            <xm:f>'Event types'!$A$2:$A$284</xm:f>
          </x14:formula1>
          <xm:sqref>T43:T44 AV181:AV183 AJ181:AJ183 AR181:AR183 AZ181:AZ183 BH181:BH183 BD181:BD183 AF182:AF183 AN181:AN183 BL181:BL183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types'!$A$2:$A$112</xm:f>
          </x14:formula1>
          <xm:sqref>BL184:BL197 T184:T196 BL152:BL180 BH152:BH180 AZ152:AZ180 AV152:AV180 AN152:AN180 BD152:BD180 AR152:AR180 X152:X178 AB152:AB178 AJ152:AJ178 AF152:AF178 AB184:AB197 AR184:AR195 BD184:BD197 AN184:AN194 AV184:AV195 AZ184:AZ196 X184:X197 BH184:BH197 AF184:AF197 T164:T177 T156:T161 AJ184:AJ195</xm:sqref>
        </x14:dataValidation>
        <x14:dataValidation type="list" allowBlank="1" showInputMessage="1" showErrorMessage="1" xr:uid="{00000000-0002-0000-0200-000006000000}">
          <x14:formula1>
            <xm:f>'Event types'!$A$2:$A$104</xm:f>
          </x14:formula1>
          <xm:sqref>T70 P3:P1048576 T184:T186 T178 X111 T152:T163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84" activePane="bottomLeft" state="frozen"/>
      <selection pane="bottomLeft" activeCell="O98" sqref="O98"/>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bestFit="1" customWidth="1"/>
    <col min="8" max="8" width="11.53515625" style="1" bestFit="1" customWidth="1"/>
    <col min="9" max="9" width="10.15234375" style="1" bestFit="1" customWidth="1"/>
    <col min="10" max="10" width="14" style="1" bestFit="1" customWidth="1"/>
    <col min="11" max="11" width="9.3828125" style="1" bestFit="1" customWidth="1"/>
    <col min="12" max="12" width="8.3828125" style="1" bestFit="1" customWidth="1"/>
    <col min="13" max="13" width="14.53515625" style="1" bestFit="1" customWidth="1"/>
    <col min="14" max="14" width="18.3828125" style="1" bestFit="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1" bestFit="1" customWidth="1"/>
    <col min="63" max="16384" width="9.15234375" style="1"/>
  </cols>
  <sheetData>
    <row r="1" spans="1:94" x14ac:dyDescent="0.4">
      <c r="A1" s="400" t="s">
        <v>490</v>
      </c>
      <c r="B1" s="400"/>
      <c r="C1" s="400"/>
      <c r="D1" s="400"/>
      <c r="E1" s="401" t="s">
        <v>491</v>
      </c>
      <c r="F1" s="402"/>
      <c r="G1" s="402"/>
      <c r="H1" s="402"/>
      <c r="I1" s="402"/>
      <c r="J1" s="402"/>
      <c r="K1" s="402"/>
      <c r="L1" s="402"/>
      <c r="M1" s="402"/>
      <c r="N1" s="403"/>
      <c r="O1" s="414" t="s">
        <v>77</v>
      </c>
      <c r="P1" s="415"/>
      <c r="Q1" s="415"/>
      <c r="R1" s="416"/>
      <c r="S1" s="401" t="s">
        <v>78</v>
      </c>
      <c r="T1" s="402"/>
      <c r="U1" s="402"/>
      <c r="V1" s="402"/>
      <c r="W1" s="414" t="s">
        <v>79</v>
      </c>
      <c r="X1" s="415"/>
      <c r="Y1" s="415"/>
      <c r="Z1" s="416"/>
      <c r="AA1" s="411" t="s">
        <v>80</v>
      </c>
      <c r="AB1" s="412"/>
      <c r="AC1" s="412"/>
      <c r="AD1" s="413"/>
      <c r="AE1" s="414" t="s">
        <v>81</v>
      </c>
      <c r="AF1" s="415"/>
      <c r="AG1" s="415"/>
      <c r="AH1" s="416"/>
      <c r="AI1" s="411" t="s">
        <v>82</v>
      </c>
      <c r="AJ1" s="412"/>
      <c r="AK1" s="412"/>
      <c r="AL1" s="413"/>
      <c r="AM1" s="414" t="s">
        <v>83</v>
      </c>
      <c r="AN1" s="415"/>
      <c r="AO1" s="415"/>
      <c r="AP1" s="416"/>
      <c r="AQ1" s="411" t="s">
        <v>84</v>
      </c>
      <c r="AR1" s="412"/>
      <c r="AS1" s="412"/>
      <c r="AT1" s="413"/>
      <c r="AU1" s="414" t="s">
        <v>85</v>
      </c>
      <c r="AV1" s="415"/>
      <c r="AW1" s="415"/>
      <c r="AX1" s="416"/>
      <c r="AY1" s="411" t="s">
        <v>86</v>
      </c>
      <c r="AZ1" s="412"/>
      <c r="BA1" s="412"/>
      <c r="BB1" s="413"/>
      <c r="BC1" s="414" t="s">
        <v>87</v>
      </c>
      <c r="BD1" s="415"/>
      <c r="BE1" s="415"/>
      <c r="BF1" s="416"/>
      <c r="BG1" s="411" t="s">
        <v>88</v>
      </c>
      <c r="BH1" s="412"/>
      <c r="BI1" s="412"/>
      <c r="BJ1" s="413"/>
    </row>
    <row r="2" spans="1:94" s="11" customFormat="1" ht="30" customHeight="1" x14ac:dyDescent="0.4">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4">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4">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4">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4">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4">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4">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4">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4">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4">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4">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4">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4">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4">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4">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4">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4">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4">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4">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4">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4">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4">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4">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4">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4">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4">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4">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4">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4">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4">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4">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4">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4">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4">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4">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4">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4">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4">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4">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4">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4">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4">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4">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4">
      <c r="A45" s="118">
        <v>1043</v>
      </c>
      <c r="B45" s="11" t="b">
        <v>1</v>
      </c>
      <c r="C45" s="11" t="b">
        <v>1</v>
      </c>
      <c r="D45" s="1" t="s">
        <v>954</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90</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4">
      <c r="A46" s="118">
        <v>1044</v>
      </c>
      <c r="B46" s="11" t="b">
        <v>1</v>
      </c>
      <c r="C46" s="11" t="b">
        <v>1</v>
      </c>
      <c r="D46" s="1" t="s">
        <v>955</v>
      </c>
      <c r="E46" s="5">
        <f t="shared" si="3"/>
        <v>1.0651315789473685</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89">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4">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4">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4">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4">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4">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4">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4">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4">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4">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4">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4">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4">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4">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4">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4">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4">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5" customHeight="1" x14ac:dyDescent="0.4">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4">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4">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4">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4">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4">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4">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4">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4">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5" customHeight="1" x14ac:dyDescent="0.4">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4">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4">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4">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4">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4">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4">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4">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4">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4">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4">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4">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4">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4">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4">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4">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4">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4">
      <c r="A89" s="1">
        <v>1087</v>
      </c>
      <c r="B89" s="11" t="b">
        <v>1</v>
      </c>
      <c r="C89" s="11" t="b">
        <v>1</v>
      </c>
      <c r="D89" s="118" t="s">
        <v>952</v>
      </c>
      <c r="E89" s="5">
        <f t="shared" si="29"/>
        <v>1.0651315789473685</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4">
      <c r="A90" s="1">
        <v>1088</v>
      </c>
      <c r="B90" s="11" t="b">
        <v>1</v>
      </c>
      <c r="C90" s="11" t="b">
        <v>1</v>
      </c>
      <c r="D90" s="118" t="s">
        <v>953</v>
      </c>
      <c r="E90" s="5">
        <f t="shared" si="29"/>
        <v>1.0651315789473685</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4">
      <c r="BJ91" s="68"/>
    </row>
    <row r="92" spans="1:62" x14ac:dyDescent="0.4">
      <c r="BJ92" s="68"/>
    </row>
    <row r="93" spans="1:62" x14ac:dyDescent="0.4">
      <c r="BJ93" s="68"/>
    </row>
    <row r="94" spans="1:62" x14ac:dyDescent="0.4">
      <c r="BJ94" s="68"/>
    </row>
    <row r="95" spans="1:62" x14ac:dyDescent="0.4">
      <c r="BJ95" s="68"/>
    </row>
    <row r="96" spans="1:62" x14ac:dyDescent="0.4">
      <c r="BJ96" s="68"/>
    </row>
    <row r="97" spans="62:62" x14ac:dyDescent="0.4">
      <c r="BJ97" s="68"/>
    </row>
    <row r="98" spans="62:62" x14ac:dyDescent="0.4">
      <c r="BJ98" s="68"/>
    </row>
    <row r="99" spans="62:62" x14ac:dyDescent="0.4">
      <c r="BJ99" s="68"/>
    </row>
    <row r="100" spans="62:62" x14ac:dyDescent="0.4">
      <c r="BJ100" s="68"/>
    </row>
    <row r="101" spans="62:62" x14ac:dyDescent="0.4">
      <c r="BJ101" s="68"/>
    </row>
    <row r="102" spans="62:62" x14ac:dyDescent="0.4">
      <c r="BJ102" s="68"/>
    </row>
    <row r="103" spans="62:62" x14ac:dyDescent="0.4">
      <c r="BJ103" s="68"/>
    </row>
    <row r="104" spans="62:62" x14ac:dyDescent="0.4">
      <c r="BJ104" s="68"/>
    </row>
    <row r="105" spans="62:62" x14ac:dyDescent="0.4">
      <c r="BJ105" s="68"/>
    </row>
    <row r="106" spans="62:62" x14ac:dyDescent="0.4">
      <c r="BJ106" s="68"/>
    </row>
    <row r="107" spans="62:62" x14ac:dyDescent="0.4">
      <c r="BJ107" s="68"/>
    </row>
    <row r="108" spans="62:62" x14ac:dyDescent="0.4">
      <c r="BJ108" s="68"/>
    </row>
    <row r="109" spans="62:62" x14ac:dyDescent="0.4">
      <c r="BJ109" s="68"/>
    </row>
    <row r="110" spans="62:62" x14ac:dyDescent="0.4">
      <c r="BJ110" s="68"/>
    </row>
    <row r="111" spans="62:62" x14ac:dyDescent="0.4">
      <c r="BJ111" s="68"/>
    </row>
    <row r="112" spans="62:62" x14ac:dyDescent="0.4">
      <c r="BJ112" s="68"/>
    </row>
    <row r="113" spans="62:62" x14ac:dyDescent="0.4">
      <c r="BJ113" s="68"/>
    </row>
    <row r="114" spans="62:62" x14ac:dyDescent="0.4">
      <c r="BJ114" s="68"/>
    </row>
    <row r="115" spans="62:62" x14ac:dyDescent="0.4">
      <c r="BJ115" s="68"/>
    </row>
    <row r="116" spans="62:62" x14ac:dyDescent="0.4">
      <c r="BJ116" s="68"/>
    </row>
    <row r="117" spans="62:62" x14ac:dyDescent="0.4">
      <c r="BJ117" s="68"/>
    </row>
    <row r="118" spans="62:62" x14ac:dyDescent="0.4">
      <c r="BJ118" s="68"/>
    </row>
    <row r="119" spans="62:62" x14ac:dyDescent="0.4">
      <c r="BJ119" s="68"/>
    </row>
    <row r="120" spans="62:62" x14ac:dyDescent="0.4">
      <c r="BJ120" s="68"/>
    </row>
    <row r="121" spans="62:62" x14ac:dyDescent="0.4">
      <c r="BJ121" s="68"/>
    </row>
    <row r="122" spans="62:62" x14ac:dyDescent="0.4">
      <c r="BJ122" s="68"/>
    </row>
    <row r="123" spans="62:62" x14ac:dyDescent="0.4">
      <c r="BJ123" s="68"/>
    </row>
    <row r="124" spans="62:62" x14ac:dyDescent="0.4">
      <c r="BJ124" s="68"/>
    </row>
    <row r="125" spans="62:62" x14ac:dyDescent="0.4">
      <c r="BJ125" s="68"/>
    </row>
    <row r="126" spans="62:62" x14ac:dyDescent="0.4">
      <c r="BJ126" s="68"/>
    </row>
    <row r="127" spans="62:62" x14ac:dyDescent="0.4">
      <c r="BJ127" s="68"/>
    </row>
    <row r="128" spans="62:62" x14ac:dyDescent="0.4">
      <c r="BJ128" s="68"/>
    </row>
    <row r="129" spans="62:62" x14ac:dyDescent="0.4">
      <c r="BJ129" s="68"/>
    </row>
    <row r="130" spans="62:62" x14ac:dyDescent="0.4">
      <c r="BJ130" s="68"/>
    </row>
    <row r="131" spans="62:62" x14ac:dyDescent="0.4">
      <c r="BJ131" s="68"/>
    </row>
    <row r="132" spans="62:62" x14ac:dyDescent="0.4">
      <c r="BJ132" s="68"/>
    </row>
    <row r="133" spans="62:62" x14ac:dyDescent="0.4">
      <c r="BJ133" s="68"/>
    </row>
    <row r="134" spans="62:62" x14ac:dyDescent="0.4">
      <c r="BJ134" s="68"/>
    </row>
    <row r="135" spans="62:62" x14ac:dyDescent="0.4">
      <c r="BJ135" s="68"/>
    </row>
    <row r="136" spans="62:62" x14ac:dyDescent="0.4">
      <c r="BJ136" s="68"/>
    </row>
    <row r="137" spans="62:62" x14ac:dyDescent="0.4">
      <c r="BJ137" s="68"/>
    </row>
    <row r="138" spans="62:62" x14ac:dyDescent="0.4">
      <c r="BJ138" s="68"/>
    </row>
    <row r="139" spans="62:62" x14ac:dyDescent="0.4">
      <c r="BJ139" s="68"/>
    </row>
    <row r="140" spans="62:62" x14ac:dyDescent="0.4">
      <c r="BJ140" s="68"/>
    </row>
    <row r="141" spans="62:62" x14ac:dyDescent="0.4">
      <c r="BJ141" s="68"/>
    </row>
    <row r="142" spans="62:62" x14ac:dyDescent="0.4">
      <c r="BJ142" s="68"/>
    </row>
    <row r="143" spans="62:62" x14ac:dyDescent="0.4">
      <c r="BJ143" s="68"/>
    </row>
    <row r="144" spans="62:62" x14ac:dyDescent="0.4">
      <c r="BJ144" s="68"/>
    </row>
    <row r="145" spans="62:62" x14ac:dyDescent="0.4">
      <c r="BJ145" s="68"/>
    </row>
    <row r="146" spans="62:62" x14ac:dyDescent="0.4">
      <c r="BJ146" s="68"/>
    </row>
    <row r="147" spans="62:62" x14ac:dyDescent="0.4">
      <c r="BJ147" s="68"/>
    </row>
    <row r="148" spans="62:62" x14ac:dyDescent="0.4">
      <c r="BJ148" s="68"/>
    </row>
    <row r="149" spans="62:62" x14ac:dyDescent="0.4">
      <c r="BJ149" s="68"/>
    </row>
    <row r="150" spans="62:62" x14ac:dyDescent="0.4">
      <c r="BJ150" s="68"/>
    </row>
    <row r="151" spans="62:62" x14ac:dyDescent="0.4">
      <c r="BJ151" s="68"/>
    </row>
    <row r="152" spans="62:62" x14ac:dyDescent="0.4">
      <c r="BJ152" s="68"/>
    </row>
    <row r="153" spans="62:62" x14ac:dyDescent="0.4">
      <c r="BJ153" s="68"/>
    </row>
    <row r="154" spans="62:62" x14ac:dyDescent="0.4">
      <c r="BJ154" s="68"/>
    </row>
    <row r="155" spans="62:62" x14ac:dyDescent="0.4">
      <c r="BJ155" s="68"/>
    </row>
    <row r="156" spans="62:62" x14ac:dyDescent="0.4">
      <c r="BJ156" s="68"/>
    </row>
    <row r="157" spans="62:62" x14ac:dyDescent="0.4">
      <c r="BJ157" s="68"/>
    </row>
    <row r="158" spans="62:62" x14ac:dyDescent="0.4">
      <c r="BJ158" s="68"/>
    </row>
    <row r="159" spans="62:62" x14ac:dyDescent="0.4">
      <c r="BJ159" s="68"/>
    </row>
    <row r="160" spans="62:62" x14ac:dyDescent="0.4">
      <c r="BJ160" s="68"/>
    </row>
    <row r="161" spans="62:62" x14ac:dyDescent="0.4">
      <c r="BJ161" s="68"/>
    </row>
    <row r="162" spans="62:62" x14ac:dyDescent="0.4">
      <c r="BJ162" s="68"/>
    </row>
    <row r="163" spans="62:62" x14ac:dyDescent="0.4">
      <c r="BJ163" s="68"/>
    </row>
    <row r="164" spans="62:62" x14ac:dyDescent="0.4">
      <c r="BJ164" s="68"/>
    </row>
    <row r="165" spans="62:62" x14ac:dyDescent="0.4">
      <c r="BJ165" s="68"/>
    </row>
    <row r="166" spans="62:62" x14ac:dyDescent="0.4">
      <c r="BJ166" s="68"/>
    </row>
    <row r="167" spans="62:62" x14ac:dyDescent="0.4">
      <c r="BJ167" s="68"/>
    </row>
    <row r="168" spans="62:62" x14ac:dyDescent="0.4">
      <c r="BJ168" s="68"/>
    </row>
    <row r="169" spans="62:62" x14ac:dyDescent="0.4">
      <c r="BJ169" s="68"/>
    </row>
    <row r="170" spans="62:62" x14ac:dyDescent="0.4">
      <c r="BJ170" s="68"/>
    </row>
    <row r="171" spans="62:62" x14ac:dyDescent="0.4">
      <c r="BJ171" s="68"/>
    </row>
    <row r="172" spans="62:62" x14ac:dyDescent="0.4">
      <c r="BJ172" s="68"/>
    </row>
    <row r="173" spans="62:62" x14ac:dyDescent="0.4">
      <c r="BJ173" s="68"/>
    </row>
    <row r="174" spans="62:62" x14ac:dyDescent="0.4">
      <c r="BJ174" s="68"/>
    </row>
    <row r="175" spans="62:62" x14ac:dyDescent="0.4">
      <c r="BJ175" s="68"/>
    </row>
    <row r="176" spans="62:62" x14ac:dyDescent="0.4">
      <c r="BJ176" s="68"/>
    </row>
    <row r="177" spans="62:62" x14ac:dyDescent="0.4">
      <c r="BJ177" s="68"/>
    </row>
    <row r="178" spans="62:62" x14ac:dyDescent="0.4">
      <c r="BJ178" s="68"/>
    </row>
    <row r="179" spans="62:62" x14ac:dyDescent="0.4">
      <c r="BJ179" s="68"/>
    </row>
    <row r="180" spans="62:62" x14ac:dyDescent="0.4">
      <c r="BJ180" s="68"/>
    </row>
  </sheetData>
  <autoFilter ref="A2:BJ90"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G91:G1048576</xm:sqref>
        </x14:dataValidation>
        <x14:dataValidation type="list" allowBlank="1" showInputMessage="1" showErrorMessage="1" xr:uid="{00000000-0002-0000-0300-000001000000}">
          <x14:formula1>
            <xm:f>datavalidation!$B$1:$B$8</xm:f>
          </x14:formula1>
          <xm:sqref>H37:H44 H91:H1048576</xm:sqref>
        </x14:dataValidation>
        <x14:dataValidation type="list" allowBlank="1" showInputMessage="1" showErrorMessage="1" xr:uid="{00000000-0002-0000-0300-000002000000}">
          <x14:formula1>
            <xm:f>'Event types'!$A$2:$A$951</xm:f>
          </x14:formula1>
          <xm:sqref>AM45:AM46 AA89:AA90 S89:S90 W89:W90 AE89:AE90 O91:O1048576 AQ45:AQ46 AI45:AI46 AA45:AA46 S45:S46 W45:W46 AE45:AE46</xm:sqref>
        </x14:dataValidation>
        <x14:dataValidation type="list" allowBlank="1" showInputMessage="1" showErrorMessage="1" xr:uid="{00000000-0002-0000-0300-000003000000}">
          <x14:formula1>
            <xm:f>'Event types'!$A$2:$A$104</xm:f>
          </x14:formula1>
          <xm:sqref>O37:O46 O89:O90</xm:sqref>
        </x14:dataValidation>
        <x14:dataValidation type="list" allowBlank="1" showInputMessage="1" showErrorMessage="1" xr:uid="{00000000-0002-0000-0300-000004000000}">
          <x14:formula1>
            <xm:f>datavalidation!$E$1:$E$2</xm:f>
          </x14:formula1>
          <xm:sqref>B3:C90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activeCell="E80" sqref="E80"/>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2.53515625" style="1" bestFit="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0" t="s">
        <v>78</v>
      </c>
      <c r="U1" s="400"/>
      <c r="V1" s="400"/>
      <c r="W1" s="400"/>
      <c r="X1" s="417" t="s">
        <v>79</v>
      </c>
      <c r="Y1" s="417"/>
      <c r="Z1" s="417"/>
      <c r="AA1" s="417"/>
      <c r="AB1" s="400" t="s">
        <v>80</v>
      </c>
      <c r="AC1" s="400"/>
      <c r="AD1" s="400"/>
      <c r="AE1" s="400"/>
      <c r="AF1" s="417" t="s">
        <v>81</v>
      </c>
      <c r="AG1" s="417"/>
      <c r="AH1" s="417"/>
      <c r="AI1" s="417"/>
      <c r="AJ1" s="400" t="s">
        <v>82</v>
      </c>
      <c r="AK1" s="400"/>
      <c r="AL1" s="400"/>
      <c r="AM1" s="400"/>
      <c r="AN1" s="417" t="s">
        <v>83</v>
      </c>
      <c r="AO1" s="417"/>
      <c r="AP1" s="417"/>
      <c r="AQ1" s="417"/>
      <c r="AR1" s="400" t="s">
        <v>84</v>
      </c>
      <c r="AS1" s="400"/>
      <c r="AT1" s="400"/>
      <c r="AU1" s="400"/>
      <c r="AV1" s="417" t="s">
        <v>85</v>
      </c>
      <c r="AW1" s="417"/>
      <c r="AX1" s="417"/>
      <c r="AY1" s="417"/>
      <c r="AZ1" s="400" t="s">
        <v>86</v>
      </c>
      <c r="BA1" s="400"/>
      <c r="BB1" s="400"/>
      <c r="BC1" s="400"/>
      <c r="BD1" s="417" t="s">
        <v>87</v>
      </c>
      <c r="BE1" s="417"/>
      <c r="BF1" s="417"/>
      <c r="BG1" s="417"/>
      <c r="BH1" s="400" t="s">
        <v>88</v>
      </c>
      <c r="BI1" s="400"/>
      <c r="BJ1" s="400"/>
      <c r="BK1" s="400"/>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4">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4">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4">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4">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4">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4">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4">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4">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4">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4">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4">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4">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4">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4">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4">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4">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4">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4">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4">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4">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4">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4">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4">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4">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4">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4">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4">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4">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4">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4">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4">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4">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4">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4">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4">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4">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4">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4">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4">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4">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4">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4">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4">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4">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4">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4">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4">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4">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4">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4">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4">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4">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4">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4">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4">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4">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4">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4">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4">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4">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4">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4">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4">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4">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4">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4">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4">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4">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4">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4">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4">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4">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4">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4">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4">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4">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types'!$A$2:$A$951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activeCell="I46" sqref="I46"/>
    </sheetView>
  </sheetViews>
  <sheetFormatPr defaultColWidth="9.15234375" defaultRowHeight="14.6" x14ac:dyDescent="0.4"/>
  <cols>
    <col min="1" max="3" width="12.69140625" style="1" customWidth="1"/>
    <col min="4" max="4" width="40.69140625" style="1" customWidth="1"/>
    <col min="5" max="5" width="7.53515625" style="1" bestFit="1" customWidth="1"/>
    <col min="6" max="6" width="10.69140625" style="1" customWidth="1"/>
    <col min="7" max="7" width="15.69140625" style="1" customWidth="1"/>
    <col min="8" max="8" width="10.69140625" style="1" customWidth="1"/>
    <col min="9" max="9" width="15.69140625" style="1" customWidth="1"/>
    <col min="10" max="10" width="10.69140625" style="1" customWidth="1"/>
    <col min="11" max="11" width="15.69140625" style="1" customWidth="1"/>
    <col min="12" max="12" width="10.69140625" style="1" customWidth="1"/>
    <col min="13" max="13" width="15.69140625" style="1" customWidth="1"/>
    <col min="14" max="14" width="11.3046875" style="1" bestFit="1" customWidth="1"/>
    <col min="15" max="15" width="11.53515625" style="1" bestFit="1" customWidth="1"/>
    <col min="16" max="16" width="10.15234375" style="1" bestFit="1" customWidth="1"/>
    <col min="17" max="17" width="14" style="1" bestFit="1" customWidth="1"/>
    <col min="18" max="18" width="9.3828125" style="1" customWidth="1"/>
    <col min="19" max="19" width="8.3828125" style="1" bestFit="1" customWidth="1"/>
    <col min="20" max="20" width="14.69140625" style="1" bestFit="1" customWidth="1"/>
    <col min="21" max="21" width="20.69140625" style="1" customWidth="1"/>
    <col min="22" max="22" width="22.84375" style="96" bestFit="1" customWidth="1"/>
    <col min="23" max="23" width="9.69140625" style="96" bestFit="1" customWidth="1"/>
    <col min="24" max="24" width="35" style="96" bestFit="1" customWidth="1"/>
    <col min="25" max="25" width="16.53515625" style="96" bestFit="1" customWidth="1"/>
    <col min="26" max="26" width="17.53515625" style="1" bestFit="1" customWidth="1"/>
    <col min="27" max="27" width="9.69140625" style="1" bestFit="1" customWidth="1"/>
    <col min="28" max="28" width="25" style="1" bestFit="1" customWidth="1"/>
    <col min="29" max="29" width="16.53515625" style="1" customWidth="1"/>
    <col min="30" max="30" width="12" style="96" bestFit="1" customWidth="1"/>
    <col min="31" max="31" width="9.69140625" style="96" bestFit="1" customWidth="1"/>
    <col min="32" max="32" width="12.3828125" style="96" bestFit="1" customWidth="1"/>
    <col min="33" max="33" width="16.53515625" style="96" bestFit="1" customWidth="1"/>
    <col min="34" max="34" width="12" style="1" bestFit="1" customWidth="1"/>
    <col min="35" max="35" width="9.69140625" style="1" bestFit="1" customWidth="1"/>
    <col min="36" max="36" width="12.3828125" style="1" bestFit="1" customWidth="1"/>
    <col min="37" max="37" width="16.53515625" style="1" bestFit="1" customWidth="1"/>
    <col min="38" max="38" width="12" style="96" bestFit="1" customWidth="1"/>
    <col min="39" max="39" width="9.69140625" style="96" bestFit="1" customWidth="1"/>
    <col min="40" max="40" width="12.3828125" style="96" bestFit="1" customWidth="1"/>
    <col min="41" max="41" width="16.53515625" style="96" bestFit="1" customWidth="1"/>
    <col min="42" max="42" width="12" style="1" bestFit="1" customWidth="1"/>
    <col min="43" max="43" width="9.69140625" style="1" bestFit="1" customWidth="1"/>
    <col min="44" max="44" width="12.3828125" style="1" bestFit="1" customWidth="1"/>
    <col min="45" max="45" width="16.53515625" style="1" bestFit="1" customWidth="1"/>
    <col min="46" max="46" width="10.69140625" style="96" bestFit="1" customWidth="1"/>
    <col min="47" max="47" width="9.69140625" style="96" bestFit="1" customWidth="1"/>
    <col min="48" max="48" width="12.3828125" style="96" bestFit="1" customWidth="1"/>
    <col min="49" max="49" width="16.53515625" style="96" bestFit="1" customWidth="1"/>
    <col min="50" max="50" width="11.3046875" style="1" customWidth="1"/>
    <col min="51" max="51" width="9.69140625" style="1" bestFit="1" customWidth="1"/>
    <col min="52" max="52" width="12.3828125" style="1" bestFit="1" customWidth="1"/>
    <col min="53" max="53" width="16.53515625" style="1" bestFit="1" customWidth="1"/>
    <col min="54" max="54" width="12.3828125" style="96" customWidth="1"/>
    <col min="55" max="55" width="9.69140625" style="96" bestFit="1" customWidth="1"/>
    <col min="56" max="56" width="12.3828125" style="96" bestFit="1" customWidth="1"/>
    <col min="57" max="57" width="16.53515625" style="96" bestFit="1" customWidth="1"/>
    <col min="58" max="58" width="12.53515625" style="1" customWidth="1"/>
    <col min="59" max="59" width="9.69140625" style="1" bestFit="1" customWidth="1"/>
    <col min="60" max="60" width="12.3828125" style="1" bestFit="1" customWidth="1"/>
    <col min="61" max="61" width="16.53515625" style="1" bestFit="1" customWidth="1"/>
    <col min="62" max="62" width="12.84375" style="96" customWidth="1"/>
    <col min="63" max="63" width="9.69140625" style="96" bestFit="1" customWidth="1"/>
    <col min="64" max="64" width="12.3828125" style="96" bestFit="1" customWidth="1"/>
    <col min="65" max="65" width="16.53515625" style="96" bestFit="1" customWidth="1"/>
    <col min="66" max="66" width="13" style="1" customWidth="1"/>
    <col min="67" max="67" width="9.69140625" style="1" bestFit="1" customWidth="1"/>
    <col min="68" max="68" width="12.3828125" style="1" bestFit="1" customWidth="1"/>
    <col min="69" max="69" width="16.53515625" style="68" bestFit="1" customWidth="1"/>
    <col min="70" max="70" width="12.84375" style="96" customWidth="1"/>
    <col min="71" max="71" width="9.69140625" style="96" bestFit="1" customWidth="1"/>
    <col min="72" max="72" width="12.3828125" style="96" bestFit="1" customWidth="1"/>
    <col min="73" max="73" width="16.53515625" style="96" bestFit="1" customWidth="1"/>
    <col min="74" max="16384" width="9.15234375" style="1"/>
  </cols>
  <sheetData>
    <row r="1" spans="1:73" x14ac:dyDescent="0.4">
      <c r="A1" s="400" t="s">
        <v>490</v>
      </c>
      <c r="B1" s="400"/>
      <c r="C1" s="400"/>
      <c r="D1" s="400"/>
      <c r="E1" s="401" t="s">
        <v>491</v>
      </c>
      <c r="F1" s="402"/>
      <c r="G1" s="402"/>
      <c r="H1" s="402"/>
      <c r="I1" s="402"/>
      <c r="J1" s="402"/>
      <c r="K1" s="402"/>
      <c r="L1" s="402"/>
      <c r="M1" s="402"/>
      <c r="N1" s="402"/>
      <c r="O1" s="402"/>
      <c r="P1" s="402"/>
      <c r="Q1" s="402"/>
      <c r="R1" s="402"/>
      <c r="S1" s="402"/>
      <c r="T1" s="402"/>
      <c r="U1" s="403"/>
      <c r="V1" s="399" t="s">
        <v>77</v>
      </c>
      <c r="W1" s="399"/>
      <c r="X1" s="399"/>
      <c r="Y1" s="399"/>
      <c r="Z1" s="400" t="s">
        <v>78</v>
      </c>
      <c r="AA1" s="400"/>
      <c r="AB1" s="400"/>
      <c r="AC1" s="400"/>
      <c r="AD1" s="399" t="s">
        <v>79</v>
      </c>
      <c r="AE1" s="399"/>
      <c r="AF1" s="399"/>
      <c r="AG1" s="399"/>
      <c r="AH1" s="400" t="s">
        <v>80</v>
      </c>
      <c r="AI1" s="400"/>
      <c r="AJ1" s="400"/>
      <c r="AK1" s="400"/>
      <c r="AL1" s="399" t="s">
        <v>81</v>
      </c>
      <c r="AM1" s="399"/>
      <c r="AN1" s="399"/>
      <c r="AO1" s="399"/>
      <c r="AP1" s="400" t="s">
        <v>82</v>
      </c>
      <c r="AQ1" s="400"/>
      <c r="AR1" s="400"/>
      <c r="AS1" s="400"/>
      <c r="AT1" s="399" t="s">
        <v>83</v>
      </c>
      <c r="AU1" s="399"/>
      <c r="AV1" s="399"/>
      <c r="AW1" s="399"/>
      <c r="AX1" s="400" t="s">
        <v>84</v>
      </c>
      <c r="AY1" s="400"/>
      <c r="AZ1" s="400"/>
      <c r="BA1" s="400"/>
      <c r="BB1" s="399" t="s">
        <v>85</v>
      </c>
      <c r="BC1" s="399"/>
      <c r="BD1" s="399"/>
      <c r="BE1" s="399"/>
      <c r="BF1" s="400" t="s">
        <v>86</v>
      </c>
      <c r="BG1" s="400"/>
      <c r="BH1" s="400"/>
      <c r="BI1" s="400"/>
      <c r="BJ1" s="399" t="s">
        <v>87</v>
      </c>
      <c r="BK1" s="399"/>
      <c r="BL1" s="399"/>
      <c r="BM1" s="399"/>
      <c r="BN1" s="400" t="s">
        <v>88</v>
      </c>
      <c r="BO1" s="400"/>
      <c r="BP1" s="400"/>
      <c r="BQ1" s="400"/>
      <c r="BR1" s="399" t="s">
        <v>495</v>
      </c>
      <c r="BS1" s="399"/>
      <c r="BT1" s="399"/>
      <c r="BU1" s="399"/>
    </row>
    <row r="2" spans="1:73" s="11" customFormat="1" ht="30" customHeight="1" x14ac:dyDescent="0.4">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4">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4">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4">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4">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4">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4">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4">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4">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4">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4">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4">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4">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4">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4">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4">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4">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4">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4">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4">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4">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4">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4">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4">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4">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4">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4">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4">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4">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4">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4">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4">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4">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4">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4">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4">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4">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4">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4">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4">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4">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4">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4">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4">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4">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4">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4">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4">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4">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4">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4">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4">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4">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4">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4">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4">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4">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4">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4">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4">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4">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4">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4">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4">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4">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4">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4">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4">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4">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4">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4">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4">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4">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4">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4">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4">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4">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4">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4">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4">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4">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4">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4">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4">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4">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4">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4">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4">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4">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4">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4">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4">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4">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4">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4">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4">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4">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4">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4">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4">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4">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4">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4">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4">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4">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4">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4">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4">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4">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4">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4">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4">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4">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4">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4">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4">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4">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4">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4">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4">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4">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4">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4">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4">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4">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4">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4">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4">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4">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4">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4">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4">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4">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4">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4">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4">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4">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4">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4">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4">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4">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4">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4">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4">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4">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4">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4">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4">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4">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4">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4">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4">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4">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4">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4">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4">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4">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4">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4">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4">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4">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4">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4">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4">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4">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4">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4">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4">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4">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4">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4">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4">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4">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4">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4">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4">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4">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4">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4">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4">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4">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4">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4">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4">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4">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4">
      <c r="U187" s="6"/>
      <c r="AJ187" s="5"/>
      <c r="AK187" s="5"/>
      <c r="AN187" s="88"/>
      <c r="AO187" s="88"/>
    </row>
    <row r="188" spans="1:73" x14ac:dyDescent="0.4">
      <c r="U188" s="6"/>
      <c r="AN188" s="88"/>
      <c r="AO188" s="88"/>
    </row>
    <row r="189" spans="1:73" x14ac:dyDescent="0.4">
      <c r="U189" s="6"/>
      <c r="AN189" s="88"/>
      <c r="AO189" s="88"/>
    </row>
    <row r="190" spans="1:73" x14ac:dyDescent="0.4">
      <c r="U190" s="6"/>
      <c r="AN190" s="88"/>
      <c r="AO190" s="88"/>
    </row>
    <row r="191" spans="1:73" x14ac:dyDescent="0.4">
      <c r="U191" s="6"/>
      <c r="AN191" s="88"/>
      <c r="AO191" s="88"/>
    </row>
    <row r="192" spans="1:73" x14ac:dyDescent="0.4">
      <c r="U192" s="6"/>
      <c r="AN192" s="88"/>
      <c r="AO192" s="88"/>
    </row>
    <row r="193" spans="21:21" x14ac:dyDescent="0.4">
      <c r="U193" s="6"/>
    </row>
    <row r="194" spans="21:21" x14ac:dyDescent="0.4">
      <c r="U194" s="6"/>
    </row>
    <row r="195" spans="21:21" x14ac:dyDescent="0.4">
      <c r="U195" s="6"/>
    </row>
    <row r="196" spans="21:21" x14ac:dyDescent="0.4">
      <c r="U196" s="6"/>
    </row>
    <row r="197" spans="21:21" x14ac:dyDescent="0.4">
      <c r="U197" s="6"/>
    </row>
    <row r="198" spans="21:21" x14ac:dyDescent="0.4">
      <c r="U198" s="6"/>
    </row>
    <row r="199" spans="21:21" x14ac:dyDescent="0.4">
      <c r="U199" s="6"/>
    </row>
    <row r="200" spans="21:21" x14ac:dyDescent="0.4">
      <c r="U200" s="6"/>
    </row>
    <row r="201" spans="21:21" x14ac:dyDescent="0.4">
      <c r="U201" s="6"/>
    </row>
    <row r="202" spans="21:21" x14ac:dyDescent="0.4">
      <c r="U202" s="6"/>
    </row>
    <row r="203" spans="21:21" x14ac:dyDescent="0.4">
      <c r="U203" s="6"/>
    </row>
    <row r="204" spans="21:21" x14ac:dyDescent="0.4">
      <c r="U204" s="6"/>
    </row>
    <row r="205" spans="21:21" x14ac:dyDescent="0.4">
      <c r="U205" s="6"/>
    </row>
    <row r="206" spans="21:21" x14ac:dyDescent="0.4">
      <c r="U206" s="6"/>
    </row>
    <row r="207" spans="21:21" x14ac:dyDescent="0.4">
      <c r="U207" s="6"/>
    </row>
    <row r="208" spans="21:21" x14ac:dyDescent="0.4">
      <c r="U208" s="6"/>
    </row>
    <row r="209" spans="21:21" x14ac:dyDescent="0.4">
      <c r="U209" s="6"/>
    </row>
    <row r="210" spans="21:21" x14ac:dyDescent="0.4">
      <c r="U210" s="6"/>
    </row>
    <row r="211" spans="21:21" x14ac:dyDescent="0.4">
      <c r="U211" s="6"/>
    </row>
    <row r="212" spans="21:21" x14ac:dyDescent="0.4">
      <c r="U212" s="6"/>
    </row>
    <row r="213" spans="21:21" x14ac:dyDescent="0.4">
      <c r="U213" s="6"/>
    </row>
    <row r="214" spans="21:21" x14ac:dyDescent="0.4">
      <c r="U214" s="6"/>
    </row>
    <row r="215" spans="21:21" x14ac:dyDescent="0.4">
      <c r="U215" s="6"/>
    </row>
    <row r="216" spans="21:21" x14ac:dyDescent="0.4">
      <c r="U216" s="6"/>
    </row>
    <row r="217" spans="21:21" x14ac:dyDescent="0.4">
      <c r="U217" s="6"/>
    </row>
    <row r="218" spans="21:21" x14ac:dyDescent="0.4">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types'!$A$2:$A$104</xm:f>
          </x14:formula1>
          <xm:sqref>Z178:Z186 Z70 AD111 Z152:Z163 V3:V1048576</xm:sqref>
        </x14:dataValidation>
        <x14:dataValidation type="list" allowBlank="1" showInputMessage="1" showErrorMessage="1" xr:uid="{00000000-0002-0000-0500-000001000000}">
          <x14:formula1>
            <xm:f>'Event types'!$A$2:$A$112</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types'!$A$2:$A$284</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types'!$A$2:$A$951</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activeCell="J32" sqref="J32"/>
    </sheetView>
  </sheetViews>
  <sheetFormatPr defaultColWidth="9.15234375" defaultRowHeight="14.6" x14ac:dyDescent="0.4"/>
  <cols>
    <col min="1" max="1" width="12.69140625" style="1" customWidth="1"/>
    <col min="2" max="3" width="12.69140625" style="11" customWidth="1"/>
    <col min="4" max="4" width="51.15234375" style="1" bestFit="1" customWidth="1"/>
    <col min="5" max="5" width="7.53515625" style="1" bestFit="1" customWidth="1"/>
    <col min="6" max="6" width="7.3828125" style="1" bestFit="1" customWidth="1"/>
    <col min="7" max="7" width="11.3046875" style="1" customWidth="1"/>
    <col min="8" max="8" width="11.3046875" style="1" bestFit="1" customWidth="1"/>
    <col min="9" max="9" width="11.53515625" style="1" bestFit="1" customWidth="1"/>
    <col min="10" max="10" width="10.15234375" style="1" bestFit="1" customWidth="1"/>
    <col min="11" max="11" width="14" style="1" bestFit="1" customWidth="1"/>
    <col min="12" max="12" width="9.3828125" style="1" bestFit="1" customWidth="1"/>
    <col min="13" max="13" width="8.3828125" style="1" bestFit="1" customWidth="1"/>
    <col min="14" max="14" width="14.15234375" style="1" customWidth="1"/>
    <col min="15" max="15" width="18.3828125" style="1" bestFit="1" customWidth="1"/>
    <col min="16" max="16" width="22.84375" style="18" bestFit="1" customWidth="1"/>
    <col min="17" max="17" width="9.69140625" style="18" bestFit="1" customWidth="1"/>
    <col min="18" max="18" width="35" style="18" bestFit="1" customWidth="1"/>
    <col min="19" max="19" width="16.53515625" style="18" bestFit="1" customWidth="1"/>
    <col min="20" max="20" width="17.53515625" style="1" bestFit="1" customWidth="1"/>
    <col min="21" max="21" width="9.69140625" style="1" bestFit="1" customWidth="1"/>
    <col min="22" max="22" width="25" style="1" bestFit="1" customWidth="1"/>
    <col min="23" max="23" width="16.53515625" style="1" bestFit="1" customWidth="1"/>
    <col min="24" max="24" width="12" style="18" bestFit="1" customWidth="1"/>
    <col min="25" max="25" width="9.69140625" style="18" bestFit="1" customWidth="1"/>
    <col min="26" max="26" width="12.3828125" style="18" bestFit="1" customWidth="1"/>
    <col min="27" max="27" width="16.53515625" style="18"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8" bestFit="1" customWidth="1"/>
    <col min="33" max="33" width="9.69140625" style="18" bestFit="1" customWidth="1"/>
    <col min="34" max="34" width="12.3828125" style="18" bestFit="1" customWidth="1"/>
    <col min="35" max="35" width="16.53515625" style="18"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8" bestFit="1" customWidth="1"/>
    <col min="41" max="41" width="9.69140625" style="18" bestFit="1" customWidth="1"/>
    <col min="42" max="42" width="12.3828125" style="18" bestFit="1" customWidth="1"/>
    <col min="43" max="43" width="16.53515625" style="18"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8" customWidth="1"/>
    <col min="49" max="49" width="9.69140625" style="18" bestFit="1" customWidth="1"/>
    <col min="50" max="50" width="12.3828125" style="18" bestFit="1" customWidth="1"/>
    <col min="51" max="51" width="16.53515625" style="18"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8" customWidth="1"/>
    <col min="57" max="57" width="9.69140625" style="18" bestFit="1" customWidth="1"/>
    <col min="58" max="58" width="12.3828125" style="18" bestFit="1" customWidth="1"/>
    <col min="59" max="59" width="16.53515625" style="18" bestFit="1" customWidth="1"/>
    <col min="60" max="60" width="13" style="1" customWidth="1"/>
    <col min="61" max="61" width="9.69140625" style="1" bestFit="1" customWidth="1"/>
    <col min="62" max="62" width="12.3828125" style="1" bestFit="1" customWidth="1"/>
    <col min="63" max="63" width="16.53515625" style="68" bestFit="1" customWidth="1"/>
    <col min="64" max="16384" width="9.15234375" style="1"/>
  </cols>
  <sheetData>
    <row r="1" spans="1:63" x14ac:dyDescent="0.4">
      <c r="A1" s="400" t="s">
        <v>490</v>
      </c>
      <c r="B1" s="400"/>
      <c r="C1" s="400"/>
      <c r="D1" s="400"/>
      <c r="E1" s="401" t="s">
        <v>491</v>
      </c>
      <c r="F1" s="402"/>
      <c r="G1" s="402"/>
      <c r="H1" s="402"/>
      <c r="I1" s="402"/>
      <c r="J1" s="402"/>
      <c r="K1" s="402"/>
      <c r="L1" s="402"/>
      <c r="M1" s="402"/>
      <c r="N1" s="402"/>
      <c r="O1" s="403"/>
      <c r="P1" s="417" t="s">
        <v>77</v>
      </c>
      <c r="Q1" s="417"/>
      <c r="R1" s="417"/>
      <c r="S1" s="417"/>
      <c r="T1" s="401" t="s">
        <v>78</v>
      </c>
      <c r="U1" s="402"/>
      <c r="V1" s="402"/>
      <c r="W1" s="402"/>
      <c r="X1" s="417" t="s">
        <v>79</v>
      </c>
      <c r="Y1" s="417"/>
      <c r="Z1" s="417"/>
      <c r="AA1" s="417"/>
      <c r="AB1" s="401" t="s">
        <v>80</v>
      </c>
      <c r="AC1" s="402"/>
      <c r="AD1" s="402"/>
      <c r="AE1" s="402"/>
      <c r="AF1" s="417" t="s">
        <v>81</v>
      </c>
      <c r="AG1" s="417"/>
      <c r="AH1" s="417"/>
      <c r="AI1" s="417"/>
      <c r="AJ1" s="401" t="s">
        <v>82</v>
      </c>
      <c r="AK1" s="402"/>
      <c r="AL1" s="402"/>
      <c r="AM1" s="402"/>
      <c r="AN1" s="417" t="s">
        <v>83</v>
      </c>
      <c r="AO1" s="417"/>
      <c r="AP1" s="417"/>
      <c r="AQ1" s="417"/>
      <c r="AR1" s="401" t="s">
        <v>84</v>
      </c>
      <c r="AS1" s="402"/>
      <c r="AT1" s="402"/>
      <c r="AU1" s="402"/>
      <c r="AV1" s="417" t="s">
        <v>85</v>
      </c>
      <c r="AW1" s="417"/>
      <c r="AX1" s="417"/>
      <c r="AY1" s="417"/>
      <c r="AZ1" s="401" t="s">
        <v>86</v>
      </c>
      <c r="BA1" s="402"/>
      <c r="BB1" s="402"/>
      <c r="BC1" s="402"/>
      <c r="BD1" s="417" t="s">
        <v>87</v>
      </c>
      <c r="BE1" s="417"/>
      <c r="BF1" s="417"/>
      <c r="BG1" s="417"/>
      <c r="BH1" s="401" t="s">
        <v>88</v>
      </c>
      <c r="BI1" s="402"/>
      <c r="BJ1" s="402"/>
      <c r="BK1" s="402"/>
    </row>
    <row r="2" spans="1:63" s="11" customFormat="1" ht="30" customHeight="1" x14ac:dyDescent="0.4">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4">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4">
      <c r="A4" s="1">
        <v>4002</v>
      </c>
      <c r="B4" s="11" t="b">
        <v>1</v>
      </c>
      <c r="C4" s="11" t="b">
        <v>1</v>
      </c>
      <c r="D4" s="118" t="str">
        <f>"Custom_RfG_Fault_3_FRTtrig_"&amp;SUBSTITUTE(TEXT(R4,"0,00"),",",".")&amp;"pu"</f>
        <v>Custom_RfG_Fault_3_FRTtrig_001pu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4">
      <c r="A5" s="1">
        <v>4003</v>
      </c>
      <c r="B5" s="11" t="b">
        <v>1</v>
      </c>
      <c r="C5" s="11" t="b">
        <v>1</v>
      </c>
      <c r="D5" s="118" t="str">
        <f t="shared" ref="D5:D13" si="4">"Custom_RfG_Fault_3_FRTtrig_"&amp;SUBSTITUTE(TEXT(R5,"0,00"),",",".")&amp;"pu"</f>
        <v>Custom_RfG_Fault_3_FRTtrig_001pu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4">
      <c r="A6" s="1">
        <v>4004</v>
      </c>
      <c r="B6" s="11" t="b">
        <v>1</v>
      </c>
      <c r="C6" s="11" t="b">
        <v>1</v>
      </c>
      <c r="D6" s="118" t="str">
        <f t="shared" si="4"/>
        <v>Custom_RfG_Fault_3_FRTtrig_001pu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4">
      <c r="A7" s="1">
        <v>4005</v>
      </c>
      <c r="B7" s="11" t="b">
        <v>1</v>
      </c>
      <c r="C7" s="11" t="b">
        <v>1</v>
      </c>
      <c r="D7" s="118" t="str">
        <f t="shared" si="4"/>
        <v>Custom_RfG_Fault_3_FRTtrig_001pu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4">
      <c r="A8" s="1">
        <v>4006</v>
      </c>
      <c r="B8" s="11" t="b">
        <v>1</v>
      </c>
      <c r="C8" s="11" t="b">
        <v>1</v>
      </c>
      <c r="D8" s="118" t="str">
        <f t="shared" si="4"/>
        <v>Custom_RfG_Fault_3_FRTtrig_001pu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4">
      <c r="A9" s="1">
        <v>4007</v>
      </c>
      <c r="B9" s="11" t="b">
        <v>1</v>
      </c>
      <c r="C9" s="11" t="b">
        <v>1</v>
      </c>
      <c r="D9" s="118" t="str">
        <f t="shared" si="4"/>
        <v>Custom_RfG_Fault_3_FRTtrig_001pu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4">
      <c r="A10" s="1">
        <v>4008</v>
      </c>
      <c r="B10" s="11" t="b">
        <v>1</v>
      </c>
      <c r="C10" s="11" t="b">
        <v>1</v>
      </c>
      <c r="D10" s="118" t="str">
        <f t="shared" si="4"/>
        <v>Custom_RfG_Fault_3_FRTtrig_001pu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4">
      <c r="A11" s="1">
        <v>4009</v>
      </c>
      <c r="B11" s="11" t="b">
        <v>1</v>
      </c>
      <c r="C11" s="11" t="b">
        <v>1</v>
      </c>
      <c r="D11" s="118" t="str">
        <f t="shared" si="4"/>
        <v>Custom_RfG_Fault_3_FRTtrig_001pu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4">
      <c r="A12" s="1">
        <v>4010</v>
      </c>
      <c r="B12" s="11" t="b">
        <v>1</v>
      </c>
      <c r="C12" s="11" t="b">
        <v>1</v>
      </c>
      <c r="D12" s="118" t="str">
        <f t="shared" si="4"/>
        <v>Custom_RfG_Fault_3_FRTtrig_001pu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4">
      <c r="A13" s="1">
        <v>4011</v>
      </c>
      <c r="B13" s="11" t="b">
        <v>1</v>
      </c>
      <c r="C13" s="11" t="b">
        <v>1</v>
      </c>
      <c r="D13" s="118" t="str">
        <f t="shared" si="4"/>
        <v>Custom_RfG_Fault_3_FRTtrig_001pu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4">
      <c r="A14" s="1">
        <v>4012</v>
      </c>
      <c r="B14" s="11" t="b">
        <v>1</v>
      </c>
      <c r="C14" s="11" t="b">
        <v>1</v>
      </c>
      <c r="D14" s="118" t="str">
        <f>"Custom_RfG_LVRT_FRTexit_"&amp;SUBSTITUTE(TEXT(AH14,"0,00"),",",".")&amp;"pu"</f>
        <v>Custom_RfG_LVRT_FRTexit_001pu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4">
      <c r="A15" s="1">
        <v>4013</v>
      </c>
      <c r="B15" s="11" t="b">
        <v>1</v>
      </c>
      <c r="C15" s="11" t="b">
        <v>1</v>
      </c>
      <c r="D15" s="118" t="str">
        <f t="shared" ref="D15:D19" si="15">"Custom_RfG_LVRT_FRTexit_"&amp;SUBSTITUTE(TEXT(AH15,"0,00"),",",".")&amp;"pu"</f>
        <v>Custom_RfG_LVRT_FRTexit_001pu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4">
      <c r="A16" s="1">
        <v>4014</v>
      </c>
      <c r="B16" s="11" t="b">
        <v>1</v>
      </c>
      <c r="C16" s="11" t="b">
        <v>1</v>
      </c>
      <c r="D16" s="118" t="str">
        <f t="shared" si="15"/>
        <v>Custom_RfG_LVRT_FRTexit_001pu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4">
      <c r="A17" s="1">
        <v>4015</v>
      </c>
      <c r="B17" s="11" t="b">
        <v>1</v>
      </c>
      <c r="C17" s="11" t="b">
        <v>1</v>
      </c>
      <c r="D17" s="118" t="str">
        <f t="shared" si="15"/>
        <v>Custom_RfG_LVRT_FRTexit_001pu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4">
      <c r="A18" s="1">
        <v>4016</v>
      </c>
      <c r="B18" s="11" t="b">
        <v>1</v>
      </c>
      <c r="C18" s="11" t="b">
        <v>1</v>
      </c>
      <c r="D18" s="118" t="str">
        <f t="shared" si="15"/>
        <v>Custom_RfG_LVRT_FRTexit_001pu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4">
      <c r="A19" s="1">
        <v>4017</v>
      </c>
      <c r="B19" s="11" t="b">
        <v>1</v>
      </c>
      <c r="C19" s="11" t="b">
        <v>1</v>
      </c>
      <c r="D19" s="118" t="str">
        <f t="shared" si="15"/>
        <v>Custom_RfG_LVRT_FRTexit_001pu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4">
      <c r="A20" s="1">
        <v>4018</v>
      </c>
      <c r="B20" s="11" t="b">
        <v>1</v>
      </c>
      <c r="C20" s="11" t="b">
        <v>1</v>
      </c>
      <c r="D20" s="118" t="str">
        <f>"Custom_RfG_Fault_3_MaxIQ_"&amp;SUBSTITUTE(TEXT(R20,"0,00"),",",".")&amp;"pu"</f>
        <v>Custom_RfG_Fault_3_MaxIQ_000pu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4">
      <c r="A21" s="1">
        <v>4019</v>
      </c>
      <c r="B21" s="11" t="b">
        <v>1</v>
      </c>
      <c r="C21" s="11" t="b">
        <v>1</v>
      </c>
      <c r="D21" s="118" t="str">
        <f t="shared" ref="D21:D29" si="16">"Custom_RfG_Fault_3_MaxIQ_"&amp;SUBSTITUTE(TEXT(R21,"0,00"),",",".")&amp;"pu"</f>
        <v>Custom_RfG_Fault_3_MaxIQ_000pu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4">
      <c r="A22" s="1">
        <v>4020</v>
      </c>
      <c r="B22" s="11" t="b">
        <v>1</v>
      </c>
      <c r="C22" s="11" t="b">
        <v>1</v>
      </c>
      <c r="D22" s="118" t="str">
        <f t="shared" si="16"/>
        <v>Custom_RfG_Fault_3_MaxIQ_000pu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4">
      <c r="A23" s="1">
        <v>4021</v>
      </c>
      <c r="B23" s="11" t="b">
        <v>1</v>
      </c>
      <c r="C23" s="11" t="b">
        <v>1</v>
      </c>
      <c r="D23" s="118" t="str">
        <f t="shared" si="16"/>
        <v>Custom_RfG_Fault_3_MaxIQ_000pu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4">
      <c r="A24" s="1">
        <v>4022</v>
      </c>
      <c r="B24" s="11" t="b">
        <v>1</v>
      </c>
      <c r="C24" s="11" t="b">
        <v>1</v>
      </c>
      <c r="D24" s="118" t="str">
        <f t="shared" si="16"/>
        <v>Custom_RfG_Fault_3_MaxIQ_000pu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4">
      <c r="A25" s="1">
        <v>4023</v>
      </c>
      <c r="B25" s="11" t="b">
        <v>1</v>
      </c>
      <c r="C25" s="11" t="b">
        <v>1</v>
      </c>
      <c r="D25" s="118" t="str">
        <f t="shared" si="16"/>
        <v>Custom_RfG_Fault_3_MaxIQ_000pu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4">
      <c r="A26" s="1">
        <v>4024</v>
      </c>
      <c r="B26" s="11" t="b">
        <v>1</v>
      </c>
      <c r="C26" s="11" t="b">
        <v>1</v>
      </c>
      <c r="D26" s="118" t="str">
        <f t="shared" si="16"/>
        <v>Custom_RfG_Fault_3_MaxIQ_000pu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4">
      <c r="A27" s="1">
        <v>4025</v>
      </c>
      <c r="B27" s="11" t="b">
        <v>1</v>
      </c>
      <c r="C27" s="11" t="b">
        <v>1</v>
      </c>
      <c r="D27" s="118" t="str">
        <f t="shared" si="16"/>
        <v>Custom_RfG_Fault_3_MaxIQ_000pu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4">
      <c r="A28" s="1">
        <v>4026</v>
      </c>
      <c r="B28" s="11" t="b">
        <v>1</v>
      </c>
      <c r="C28" s="11" t="b">
        <v>1</v>
      </c>
      <c r="D28" s="118" t="str">
        <f t="shared" si="16"/>
        <v>Custom_RfG_Fault_3_MaxIQ_000pu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4">
      <c r="A29" s="1">
        <v>4027</v>
      </c>
      <c r="B29" s="11" t="b">
        <v>1</v>
      </c>
      <c r="C29" s="11" t="b">
        <v>1</v>
      </c>
      <c r="D29" s="118" t="str">
        <f t="shared" si="16"/>
        <v>Custom_RfG_Fault_3_MaxIQ_000pu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4">
      <c r="A30" s="1">
        <v>4028</v>
      </c>
      <c r="B30" s="11" t="b">
        <v>1</v>
      </c>
      <c r="C30" s="11" t="b">
        <v>1</v>
      </c>
      <c r="D30" s="118" t="str">
        <f>"Custom_RfG_Fault_3_"&amp;SUBSTITUTE(TEXT(V30,"0,0"),",",".")&amp;"pu_Plim_"&amp;SUBSTITUTE(TEXT(R30,"0,0"),",",".")&amp;"pu"</f>
        <v>Custom_RfG_Fault_3_00pu_Plim_01pu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4">
      <c r="A31" s="1">
        <v>4029</v>
      </c>
      <c r="B31" s="11" t="b">
        <v>1</v>
      </c>
      <c r="C31" s="11" t="b">
        <v>1</v>
      </c>
      <c r="D31" s="118" t="str">
        <f>"Custom_RfG_Fault_2_"&amp;SUBSTITUTE(TEXT(V31,"0,0"),",",".")&amp;"pu_Plim_"&amp;SUBSTITUTE(TEXT(R31,"0,0"),",",".")&amp;"pu"</f>
        <v>Custom_RfG_Fault_2_00pu_Plim_01pu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4">
      <c r="A32" s="1">
        <v>4030</v>
      </c>
      <c r="B32" s="11" t="b">
        <v>1</v>
      </c>
      <c r="C32" s="11" t="b">
        <v>1</v>
      </c>
      <c r="D32" s="118" t="str">
        <f>"Custom_RfG_Fault_1_"&amp;SUBSTITUTE(TEXT(V32,"0,0"),",",".")&amp;"pu_Plim_"&amp;SUBSTITUTE(TEXT(R32,"0,0"),",",".")&amp;"pu"</f>
        <v>Custom_RfG_Fault_1_00pu_Plim_01pu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4">
      <c r="A33" s="1">
        <v>4031</v>
      </c>
      <c r="B33" s="11" t="b">
        <v>1</v>
      </c>
      <c r="C33" s="11" t="b">
        <v>1</v>
      </c>
      <c r="D33" s="118" t="str">
        <f>"Custom_RfG_Fault_3_"&amp;SUBSTITUTE(TEXT(V33,"0,0"),",",".")&amp;"pu_Plim_"&amp;SUBSTITUTE(TEXT(R33,"0,00"),",",".")&amp;"pu"</f>
        <v>Custom_RfG_Fault_3_00pu_Plim_000pu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4">
      <c r="A34" s="1">
        <v>4032</v>
      </c>
      <c r="B34" s="11" t="b">
        <v>1</v>
      </c>
      <c r="C34" s="11" t="b">
        <v>1</v>
      </c>
      <c r="D34" s="118" t="str">
        <f>"Custom_RfG_Fault_2_"&amp;SUBSTITUTE(TEXT(V34,"0,0"),",",".")&amp;"pu_Plim_"&amp;SUBSTITUTE(TEXT(R34,"0,00"),",",".")&amp;"pu"</f>
        <v>Custom_RfG_Fault_2_00pu_Plim_000pu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4">
      <c r="A35" s="1">
        <v>4033</v>
      </c>
      <c r="B35" s="11" t="b">
        <v>1</v>
      </c>
      <c r="C35" s="11" t="b">
        <v>1</v>
      </c>
      <c r="D35" s="118" t="str">
        <f>"Custom_RfG_Fault_1_"&amp;SUBSTITUTE(TEXT(V35,"0,0"),",",".")&amp;"pu_Plim_"&amp;SUBSTITUTE(TEXT(R35,"0,00"),",",".")&amp;"pu"</f>
        <v>Custom_RfG_Fault_1_00pu_Plim_000pu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4">
      <c r="A36" s="1">
        <v>4034</v>
      </c>
      <c r="B36" s="11" t="b">
        <v>1</v>
      </c>
      <c r="C36" s="11" t="b">
        <v>1</v>
      </c>
      <c r="D36" s="118" t="str">
        <f t="shared" ref="D36:D37" si="17">"Custom_RfG_Ucontrol_Plim_"&amp;SUBSTITUTE(TEXT(R36,"0,00"),",",".")&amp;"pu"</f>
        <v>Custom_RfG_Ucontrol_Plim_001pu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4">
      <c r="A37" s="1">
        <v>4035</v>
      </c>
      <c r="B37" s="11" t="b">
        <v>1</v>
      </c>
      <c r="C37" s="11" t="b">
        <v>1</v>
      </c>
      <c r="D37" s="118" t="str">
        <f t="shared" si="17"/>
        <v>Custom_RfG_Ucontrol_Plim_001pu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4">
      <c r="A38" s="1">
        <v>4036</v>
      </c>
      <c r="B38" s="11" t="b">
        <v>1</v>
      </c>
      <c r="C38" s="11" t="b">
        <v>1</v>
      </c>
      <c r="D38" s="118" t="str">
        <f>"Custom_RfG_Ucontrol_Plim_"&amp;SUBSTITUTE(TEXT(R38,"0,00"),",",".")&amp;"pu"</f>
        <v>Custom_RfG_Ucontrol_Plim_000pu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4">
      <c r="A39" s="1">
        <v>4037</v>
      </c>
      <c r="B39" s="11" t="b">
        <v>1</v>
      </c>
      <c r="C39" s="11" t="b">
        <v>1</v>
      </c>
      <c r="D39" s="118" t="str">
        <f>"Custom_Fault_3_"&amp;SUBSTITUTE(TEXT(R39,"0,00"),",",".")&amp;"pu_U0_"&amp;SUBSTITUTE(TEXT(E39,"0,000"),",",".")&amp;"pu"</f>
        <v>Custom_Fault_3_000pu_U0_0.001pu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4">
      <c r="A40" s="1">
        <v>4038</v>
      </c>
      <c r="B40" s="11" t="b">
        <v>1</v>
      </c>
      <c r="C40" s="11" t="b">
        <v>1</v>
      </c>
      <c r="D40" s="118" t="str">
        <f>"Custom_Fault_2_"&amp;SUBSTITUTE(TEXT(R40,"0,00"),",",".")&amp;"pu_U0_"&amp;SUBSTITUTE(TEXT(E40,"0,000"),",",".")&amp;"pu"</f>
        <v>Custom_Fault_2_000pu_U0_0.001pu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4">
      <c r="A41" s="1">
        <v>4039</v>
      </c>
      <c r="B41" s="11" t="b">
        <v>1</v>
      </c>
      <c r="C41" s="11" t="b">
        <v>1</v>
      </c>
      <c r="D41" s="118" t="str">
        <f>"Custom_Fault_1_"&amp;SUBSTITUTE(TEXT(R41,"0,00"),",",".")&amp;"pu_U0_"&amp;SUBSTITUTE(TEXT(E41,"0,000"),",",".")&amp;"pu"</f>
        <v>Custom_Fault_1_000pu_U0_0.001pu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4">
      <c r="A42" s="1">
        <v>4040</v>
      </c>
      <c r="B42" s="11" t="b">
        <v>1</v>
      </c>
      <c r="C42" s="11" t="b">
        <v>1</v>
      </c>
      <c r="D42" s="118" t="str">
        <f>"Custom_Fault_3_"&amp;SUBSTITUTE(TEXT(R42,"0,00"),",",".")&amp;"pu_U0_"&amp;SUBSTITUTE(TEXT(E42,"0,000"),",",".")&amp;"pu"</f>
        <v>Custom_Fault_3_000pu_U0_0.001pu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4">
      <c r="A43" s="1">
        <v>4041</v>
      </c>
      <c r="B43" s="11" t="b">
        <v>1</v>
      </c>
      <c r="C43" s="11" t="b">
        <v>1</v>
      </c>
      <c r="D43" s="118" t="str">
        <f>"Custom_Fault_2_"&amp;SUBSTITUTE(TEXT(R43,"0,00"),",",".")&amp;"pu_U0_"&amp;SUBSTITUTE(TEXT(E43,"0,000"),",",".")&amp;"pu"</f>
        <v>Custom_Fault_2_000pu_U0_0.001pu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4">
      <c r="A44" s="1">
        <v>4042</v>
      </c>
      <c r="B44" s="11" t="b">
        <v>1</v>
      </c>
      <c r="C44" s="11" t="b">
        <v>1</v>
      </c>
      <c r="D44" s="118" t="str">
        <f>"Custom_Fault_1_"&amp;SUBSTITUTE(TEXT(R44,"0,00"),",",".")&amp;"pu_U0_"&amp;SUBSTITUTE(TEXT(E44,"0,000"),",",".")&amp;"pu"</f>
        <v>Custom_Fault_1_000pu_U0_0.001pu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4">
      <c r="A45" s="1">
        <v>4043</v>
      </c>
      <c r="B45" s="11" t="b">
        <v>1</v>
      </c>
      <c r="C45" s="11" t="b">
        <v>1</v>
      </c>
      <c r="D45" s="118" t="str">
        <f>"Custom_Fault_3_U0_"&amp;SUBSTITUTE(TEXT(E45,"0,000"),",",".")&amp;"_Uend_"&amp;SUBSTITUTE(TEXT(V45,"0,000"),",",".")</f>
        <v>Custom_Fault_3_U0_0.001_Uend_0.001</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4">
      <c r="A46" s="1">
        <v>4044</v>
      </c>
      <c r="B46" s="11" t="b">
        <v>1</v>
      </c>
      <c r="C46" s="11" t="b">
        <v>1</v>
      </c>
      <c r="D46" s="118" t="str">
        <f>"Custom_Fault_2_U0_"&amp;SUBSTITUTE(TEXT(E46,"0,000"),",",".")&amp;"_Uend_"&amp;SUBSTITUTE(TEXT(V46,"0,000"),",",".")</f>
        <v>Custom_Fault_2_U0_0.001_Uend_0.001</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4">
      <c r="A47" s="1">
        <v>4045</v>
      </c>
      <c r="B47" s="11" t="b">
        <v>1</v>
      </c>
      <c r="C47" s="11" t="b">
        <v>1</v>
      </c>
      <c r="D47" s="118" t="str">
        <f>"Custom_Fault_1_U0_"&amp;SUBSTITUTE(TEXT(E47,"0,000"),",",".")&amp;"_Uend_"&amp;SUBSTITUTE(TEXT(V47,"0,000"),",",".")</f>
        <v>Custom_Fault_1_U0_0.001_Uend_0.001</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4">
      <c r="A48" s="1">
        <v>4046</v>
      </c>
      <c r="B48" s="11" t="b">
        <v>1</v>
      </c>
      <c r="C48" s="11" t="b">
        <v>1</v>
      </c>
      <c r="D48" s="118" t="str">
        <f>"Custom_Fault_3_U0_"&amp;SUBSTITUTE(TEXT(E48,"0,000"),",",".")&amp;"_Uend_"&amp;SUBSTITUTE(TEXT(V48,"0,000"),",",".")</f>
        <v>Custom_Fault_3_U0_0.001_Uend_0.001</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4">
      <c r="A49" s="1">
        <v>4047</v>
      </c>
      <c r="B49" s="11" t="b">
        <v>1</v>
      </c>
      <c r="C49" s="11" t="b">
        <v>1</v>
      </c>
      <c r="D49" s="118" t="str">
        <f>"Custom_Fault_3_U0_"&amp;SUBSTITUTE(TEXT(E49,"0,000"),",",".")&amp;"_Uend_"&amp;SUBSTITUTE(TEXT(V49,"0,000"),",",".")</f>
        <v>Custom_Fault_3_U0_0.001_Uend_0.001</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4">
      <c r="A50" s="1">
        <v>4048</v>
      </c>
      <c r="B50" s="11" t="b">
        <v>1</v>
      </c>
      <c r="C50" s="11" t="b">
        <v>1</v>
      </c>
      <c r="D50" s="118" t="str">
        <f>"Custom_Fault_2_U0_"&amp;SUBSTITUTE(TEXT(E50,"0,000"),",",".")&amp;"_Uend_"&amp;SUBSTITUTE(TEXT(V50,"0,000"),",",".")</f>
        <v>Custom_Fault_2_U0_0.001_Uend_0.001</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4">
      <c r="A51" s="1">
        <v>4049</v>
      </c>
      <c r="B51" s="11" t="b">
        <v>1</v>
      </c>
      <c r="C51" s="11" t="b">
        <v>1</v>
      </c>
      <c r="D51" s="118" t="str">
        <f>"Custom_Fault_1_U0_"&amp;SUBSTITUTE(TEXT(E51,"0,000"),",",".")&amp;"_Uend_"&amp;SUBSTITUTE(TEXT(V51,"0,000"),",",".")</f>
        <v>Custom_Fault_1_U0_0.001_Uend_0.001</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4">
      <c r="A52" s="1">
        <v>4050</v>
      </c>
      <c r="B52" s="11" t="b">
        <v>1</v>
      </c>
      <c r="C52" s="11" t="b">
        <v>1</v>
      </c>
      <c r="D52" s="118" t="str">
        <f>"Custom_Fault_3_U0_"&amp;SUBSTITUTE(TEXT(E52,"0,000"),",",".")&amp;"_Uend_"&amp;SUBSTITUTE(TEXT(V52,"0,000"),",",".")</f>
        <v>Custom_Fault_3_U0_0.001_Uend_0.001</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4">
      <c r="A53" s="1">
        <v>4051</v>
      </c>
      <c r="B53" s="11" t="b">
        <v>1</v>
      </c>
      <c r="C53" s="11" t="b">
        <v>1</v>
      </c>
      <c r="D53" s="118" t="str">
        <f>"Custom_Fault_3_U0_"&amp;SUBSTITUTE(TEXT(E53,"0,000"),",",".")&amp;"_Uend_"&amp;SUBSTITUTE(TEXT(V53,"0,000"),",",".")</f>
        <v>Custom_Fault_3_U0_0.001_Uend_0.001</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4">
      <c r="A54" s="1">
        <v>4052</v>
      </c>
      <c r="B54" s="11" t="b">
        <v>1</v>
      </c>
      <c r="C54" s="11" t="b">
        <v>1</v>
      </c>
      <c r="D54" s="118" t="str">
        <f>"Custom_Fault_3_U0_"&amp;SUBSTITUTE(TEXT(E54,"0,000"),",",".")&amp;"_Uend_"&amp;SUBSTITUTE(TEXT(V54,"0,000"),",",".")</f>
        <v>Custom_Fault_3_U0_0.001_Uend_0.001</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4">
      <c r="A55" s="1">
        <v>4053</v>
      </c>
      <c r="B55" s="11" t="b">
        <v>1</v>
      </c>
      <c r="C55" s="11" t="b">
        <v>1</v>
      </c>
      <c r="D55" s="118" t="str">
        <f>"Custom_Fault_3_U0_"&amp;SUBSTITUTE(TEXT(E55,"0,000"),",",".")&amp;"_Uend_"&amp;SUBSTITUTE(TEXT(V55,"0,000"),",",".")</f>
        <v>Custom_Fault_3_U0_0.001_Uend_0.001</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4">
      <c r="A56" s="1">
        <v>4054</v>
      </c>
      <c r="B56" s="11" t="b">
        <v>1</v>
      </c>
      <c r="C56" s="11" t="b">
        <v>1</v>
      </c>
      <c r="D56" s="118" t="str">
        <f t="shared" ref="D56:D61" si="24">"Custom_Fault_3_U0_"&amp;SUBSTITUTE(TEXT(E56,"0,000"),",",".")&amp;"pu_OVRT_"&amp;SUBSTITUTE(TEXT(V56,"0,00"),",",".")</f>
        <v>Custom_Fault_3_U0_0.001pu_OVRT_001</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4">
      <c r="A57" s="1">
        <v>4055</v>
      </c>
      <c r="B57" s="11" t="b">
        <v>1</v>
      </c>
      <c r="C57" s="11" t="b">
        <v>1</v>
      </c>
      <c r="D57" s="118" t="str">
        <f t="shared" si="24"/>
        <v>Custom_Fault_3_U0_0.001pu_OVRT_001</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4">
      <c r="A58" s="1">
        <v>4056</v>
      </c>
      <c r="B58" s="11" t="b">
        <v>1</v>
      </c>
      <c r="C58" s="11" t="b">
        <v>1</v>
      </c>
      <c r="D58" s="118" t="str">
        <f t="shared" si="24"/>
        <v>Custom_Fault_3_U0_0.001pu_OVRT_001</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4">
      <c r="A59" s="1">
        <v>4057</v>
      </c>
      <c r="B59" s="11" t="b">
        <v>1</v>
      </c>
      <c r="C59" s="11" t="b">
        <v>1</v>
      </c>
      <c r="D59" s="118" t="str">
        <f t="shared" si="24"/>
        <v>Custom_Fault_3_U0_0.001pu_OVRT_001</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4">
      <c r="A60" s="1">
        <v>4058</v>
      </c>
      <c r="B60" s="11" t="b">
        <v>1</v>
      </c>
      <c r="C60" s="11" t="b">
        <v>1</v>
      </c>
      <c r="D60" s="118" t="str">
        <f t="shared" si="24"/>
        <v>Custom_Fault_3_U0_0.001pu_OVRT_001</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4">
      <c r="A61" s="1">
        <v>4059</v>
      </c>
      <c r="B61" s="11" t="b">
        <v>1</v>
      </c>
      <c r="C61" s="11" t="b">
        <v>1</v>
      </c>
      <c r="D61" s="118" t="str">
        <f t="shared" si="24"/>
        <v>Custom_Fault_3_U0_0.001pu_OVRT_001</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4">
      <c r="A62" s="1">
        <v>4060</v>
      </c>
      <c r="B62" s="11" t="b">
        <v>1</v>
      </c>
      <c r="C62" s="11" t="b">
        <v>1</v>
      </c>
      <c r="D62" s="118" t="str">
        <f>"Custom_Fault_3_"&amp;SUBSTITUTE(TEXT(R62,"0,00"),",",".")&amp;"pu_SCR_"&amp;TEXT(L62,"0")&amp;""</f>
        <v>Custom_Fault_3_000pu_SCR_2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4">
      <c r="A63" s="1">
        <v>4061</v>
      </c>
      <c r="B63" s="11" t="b">
        <v>1</v>
      </c>
      <c r="C63" s="11" t="b">
        <v>1</v>
      </c>
      <c r="D63" s="118" t="str">
        <f>"Custom_Fault_3_"&amp;SUBSTITUTE(TEXT(R63,"0,00"),",",".")&amp;"pu_SCR_"&amp;TEXT(L63,"0")&amp;""</f>
        <v>Custom_Fault_3_000pu_SCR_3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4">
      <c r="A64" s="1">
        <v>4062</v>
      </c>
      <c r="B64" s="11" t="b">
        <v>1</v>
      </c>
      <c r="C64" s="11" t="b">
        <v>1</v>
      </c>
      <c r="D64" s="118" t="str">
        <f>"Custom_Fault_3_"&amp;SUBSTITUTE(TEXT(R64,"0,00"),",",".")&amp;"pu_SCR_"&amp;TEXT(L64,"0")&amp;""</f>
        <v>Custom_Fault_3_000pu_SCR_4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4">
      <c r="A65" s="1">
        <v>4063</v>
      </c>
      <c r="B65" s="11" t="b">
        <v>1</v>
      </c>
      <c r="C65" s="11" t="b">
        <v>1</v>
      </c>
      <c r="D65" s="118" t="str">
        <f>"Custom_Fault_3_"&amp;SUBSTITUTE(TEXT(R65,"0,00"),",",".")&amp;"pu_SCR_"&amp;TEXT(L65,"0")&amp;""</f>
        <v>Custom_Fault_3_000pu_SCR_5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4">
      <c r="A66" s="1">
        <v>4064</v>
      </c>
      <c r="B66" s="11" t="b">
        <v>1</v>
      </c>
      <c r="C66" s="11" t="b">
        <v>1</v>
      </c>
      <c r="D66" s="118" t="str">
        <f>"Custom_Fault_3_"&amp;SUBSTITUTE(TEXT(R66,"0,00"),",",".")&amp;"pu_SCR_"&amp;TEXT(L66,"0")&amp;""</f>
        <v>Custom_Fault_3_000pu_SCR_6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4">
      <c r="A67" s="1">
        <v>4065</v>
      </c>
      <c r="B67" s="11" t="b">
        <v>1</v>
      </c>
      <c r="C67" s="11" t="b">
        <v>1</v>
      </c>
      <c r="D67" s="118" t="str">
        <f>"Custom_Fault_2_"&amp;SUBSTITUTE(TEXT(R67,"0,00"),",",".")&amp;"pu_SCR_"&amp;TEXT(L67,"0")&amp;""</f>
        <v>Custom_Fault_2_000pu_SCR_2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4">
      <c r="A68" s="1">
        <v>4066</v>
      </c>
      <c r="B68" s="11" t="b">
        <v>1</v>
      </c>
      <c r="C68" s="11" t="b">
        <v>1</v>
      </c>
      <c r="D68" s="118" t="str">
        <f>"Custom_Fault_2_"&amp;SUBSTITUTE(TEXT(R68,"0,00"),",",".")&amp;"pu_SCR_"&amp;TEXT(L68,"0")&amp;""</f>
        <v>Custom_Fault_2_000pu_SCR_3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4">
      <c r="A69" s="1">
        <v>4067</v>
      </c>
      <c r="B69" s="11" t="b">
        <v>1</v>
      </c>
      <c r="C69" s="11" t="b">
        <v>1</v>
      </c>
      <c r="D69" s="118" t="str">
        <f>"Custom_Fault_2_"&amp;SUBSTITUTE(TEXT(R69,"0,00"),",",".")&amp;"pu_SCR_"&amp;TEXT(L69,"0")&amp;""</f>
        <v>Custom_Fault_2_000pu_SCR_4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4">
      <c r="A70" s="1">
        <v>4068</v>
      </c>
      <c r="B70" s="11" t="b">
        <v>1</v>
      </c>
      <c r="C70" s="11" t="b">
        <v>1</v>
      </c>
      <c r="D70" s="118" t="str">
        <f>"Custom_Fault_2_"&amp;SUBSTITUTE(TEXT(R70,"0,00"),",",".")&amp;"pu_SCR_"&amp;TEXT(L70,"0")&amp;""</f>
        <v>Custom_Fault_2_000pu_SCR_5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4">
      <c r="A71" s="1">
        <v>4069</v>
      </c>
      <c r="B71" s="11" t="b">
        <v>1</v>
      </c>
      <c r="C71" s="11" t="b">
        <v>1</v>
      </c>
      <c r="D71" s="118" t="str">
        <f>"Custom_Fault_2_"&amp;SUBSTITUTE(TEXT(R71,"0,00"),",",".")&amp;"pu_SCR_"&amp;TEXT(L71,"0")&amp;""</f>
        <v>Custom_Fault_2_000pu_SCR_6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4">
      <c r="A72" s="1">
        <v>4070</v>
      </c>
      <c r="B72" s="11" t="b">
        <v>1</v>
      </c>
      <c r="C72" s="11" t="b">
        <v>1</v>
      </c>
      <c r="D72" s="118" t="str">
        <f>"Custom_Fault_3_"&amp;SUBSTITUTE(TEXT(R72,"0,00"),",",".")&amp;"pu_SCR_"&amp;TEXT(L72,"0")&amp;""</f>
        <v>Custom_Fault_3_001pu_SCR_2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4">
      <c r="A73" s="1">
        <v>4071</v>
      </c>
      <c r="B73" s="11" t="b">
        <v>1</v>
      </c>
      <c r="C73" s="11" t="b">
        <v>1</v>
      </c>
      <c r="D73" s="118" t="str">
        <f>"Custom_Fault_3_"&amp;SUBSTITUTE(TEXT(R73,"0,00"),",",".")&amp;"pu_SCR_"&amp;TEXT(L73,"0")&amp;""</f>
        <v>Custom_Fault_3_001pu_SCR_3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4">
      <c r="A74" s="1">
        <v>4072</v>
      </c>
      <c r="B74" s="11" t="b">
        <v>1</v>
      </c>
      <c r="C74" s="11" t="b">
        <v>1</v>
      </c>
      <c r="D74" s="118" t="str">
        <f>"Custom_Fault_3_"&amp;SUBSTITUTE(TEXT(R74,"0,00"),",",".")&amp;"pu_SCR_"&amp;TEXT(L74,"0")&amp;""</f>
        <v>Custom_Fault_3_001pu_SCR_4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4">
      <c r="A75" s="1">
        <v>4073</v>
      </c>
      <c r="B75" s="11" t="b">
        <v>1</v>
      </c>
      <c r="C75" s="11" t="b">
        <v>1</v>
      </c>
      <c r="D75" s="118" t="str">
        <f>"Custom_Fault_3_"&amp;SUBSTITUTE(TEXT(R75,"0,00"),",",".")&amp;"pu_SCR_"&amp;TEXT(L75,"0")&amp;""</f>
        <v>Custom_Fault_3_001pu_SCR_5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4">
      <c r="A76" s="1">
        <v>4074</v>
      </c>
      <c r="B76" s="11" t="b">
        <v>1</v>
      </c>
      <c r="C76" s="11" t="b">
        <v>1</v>
      </c>
      <c r="D76" s="118" t="str">
        <f>"Custom_Fault_3_"&amp;SUBSTITUTE(TEXT(R76,"0,00"),",",".")&amp;"pu_SCR_"&amp;TEXT(L76,"0")&amp;""</f>
        <v>Custom_Fault_3_001pu_SCR_6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4">
      <c r="A77" s="1">
        <v>4075</v>
      </c>
      <c r="B77" s="11" t="b">
        <v>1</v>
      </c>
      <c r="C77" s="11" t="b">
        <v>1</v>
      </c>
      <c r="D77" s="118" t="str">
        <f>"Custom_Fault_2_"&amp;SUBSTITUTE(TEXT(R77,"0,00"),",",".")&amp;"pu_SCR_"&amp;TEXT(L77,"0")&amp;""</f>
        <v>Custom_Fault_2_001pu_SCR_2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4">
      <c r="A78" s="1">
        <v>4076</v>
      </c>
      <c r="B78" s="11" t="b">
        <v>1</v>
      </c>
      <c r="C78" s="11" t="b">
        <v>1</v>
      </c>
      <c r="D78" s="118" t="str">
        <f>"Custom_Fault_2_"&amp;SUBSTITUTE(TEXT(R78,"0,00"),",",".")&amp;"pu_SCR_"&amp;TEXT(L78,"0")&amp;""</f>
        <v>Custom_Fault_2_001pu_SCR_3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4">
      <c r="A79" s="1">
        <v>4077</v>
      </c>
      <c r="B79" s="11" t="b">
        <v>1</v>
      </c>
      <c r="C79" s="11" t="b">
        <v>1</v>
      </c>
      <c r="D79" s="118" t="str">
        <f>"Custom_Fault_2_"&amp;SUBSTITUTE(TEXT(R79,"0,00"),",",".")&amp;"pu_SCR_"&amp;TEXT(L79,"0")&amp;""</f>
        <v>Custom_Fault_2_001pu_SCR_4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4">
      <c r="A80" s="1">
        <v>4078</v>
      </c>
      <c r="B80" s="11" t="b">
        <v>1</v>
      </c>
      <c r="C80" s="11" t="b">
        <v>1</v>
      </c>
      <c r="D80" s="118" t="str">
        <f>"Custom_Fault_2_"&amp;SUBSTITUTE(TEXT(R80,"0,00"),",",".")&amp;"pu_SCR_"&amp;TEXT(L80,"0")&amp;""</f>
        <v>Custom_Fault_2_001pu_SCR_5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4">
      <c r="A81" s="1">
        <v>4079</v>
      </c>
      <c r="B81" s="11" t="b">
        <v>1</v>
      </c>
      <c r="C81" s="11" t="b">
        <v>1</v>
      </c>
      <c r="D81" s="118" t="str">
        <f>"Custom_Fault_2_"&amp;SUBSTITUTE(TEXT(R81,"0,00"),",",".")&amp;"pu_SCR_"&amp;TEXT(L81,"0")&amp;""</f>
        <v>Custom_Fault_2_001pu_SCR_6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4">
      <c r="A82" s="1">
        <v>4080</v>
      </c>
      <c r="B82" s="11" t="b">
        <v>1</v>
      </c>
      <c r="C82" s="11" t="b">
        <v>1</v>
      </c>
      <c r="D82" s="118" t="str">
        <f>"Custom_Fault_3_"&amp;SUBSTITUTE(TEXT(R82,"0,00"),",",".")&amp;"pu_Duration_"&amp;SUBSTITUTE(TEXT(S82*1000,"00"),",",".")</f>
        <v>Custom_Fault_3_000pu_Duration_80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4">
      <c r="A83" s="1">
        <v>4081</v>
      </c>
      <c r="B83" s="11" t="b">
        <v>1</v>
      </c>
      <c r="C83" s="11" t="b">
        <v>1</v>
      </c>
      <c r="D83" s="118" t="str">
        <f t="shared" ref="D83:D84" si="31">"Custom_Fault_3_"&amp;SUBSTITUTE(TEXT(R83,"0,00"),",",".")&amp;"pu_Duration_"&amp;SUBSTITUTE(TEXT(S83*1000,"00"),",",".")</f>
        <v>Custom_Fault_3_000pu_Duration_60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4">
      <c r="A84" s="1">
        <v>4082</v>
      </c>
      <c r="B84" s="11" t="b">
        <v>1</v>
      </c>
      <c r="C84" s="11" t="b">
        <v>1</v>
      </c>
      <c r="D84" s="118" t="str">
        <f t="shared" si="31"/>
        <v>Custom_Fault_3_000pu_Duration_40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4">
      <c r="A85" s="1">
        <v>4083</v>
      </c>
      <c r="B85" s="11" t="b">
        <v>1</v>
      </c>
      <c r="C85" s="11" t="b">
        <v>1</v>
      </c>
      <c r="D85" s="118" t="str">
        <f>"Custom_Shift_"&amp;TEXT(Q85*1000,"00")&amp;"_Fault_3_"&amp;SUBSTITUTE(TEXT(R85,"0,00"),",",".")&amp;"pu"</f>
        <v>Custom_Shift_10_Fault_3_000pu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4">
      <c r="A86" s="1">
        <v>4084</v>
      </c>
      <c r="B86" s="11" t="b">
        <v>1</v>
      </c>
      <c r="C86" s="11" t="b">
        <v>1</v>
      </c>
      <c r="D86" s="118" t="str">
        <f t="shared" ref="D86:D89" si="32">"Custom_Shift_"&amp;TEXT(Q86*1000,"00")&amp;"_Fault_3_"&amp;SUBSTITUTE(TEXT(R86,"0,00"),",",".")&amp;"pu"</f>
        <v>Custom_Shift_20_Fault_3_000pu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4">
      <c r="A87" s="1">
        <v>4085</v>
      </c>
      <c r="B87" s="11" t="b">
        <v>1</v>
      </c>
      <c r="C87" s="11" t="b">
        <v>1</v>
      </c>
      <c r="D87" s="118" t="str">
        <f t="shared" si="32"/>
        <v>Custom_Shift_30_Fault_3_000pu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4">
      <c r="A88" s="1">
        <v>4086</v>
      </c>
      <c r="B88" s="11" t="b">
        <v>1</v>
      </c>
      <c r="C88" s="11" t="b">
        <v>1</v>
      </c>
      <c r="D88" s="118" t="str">
        <f t="shared" si="32"/>
        <v>Custom_Shift_40_Fault_3_000pu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4">
      <c r="A89" s="1">
        <v>4087</v>
      </c>
      <c r="B89" s="11" t="b">
        <v>1</v>
      </c>
      <c r="C89" s="11" t="b">
        <v>1</v>
      </c>
      <c r="D89" s="118" t="str">
        <f t="shared" si="32"/>
        <v>Custom_Shift_50_Fault_3_000pu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4">
      <c r="N90" s="21"/>
    </row>
    <row r="91" spans="1:19" x14ac:dyDescent="0.4">
      <c r="N91" s="83"/>
    </row>
    <row r="92" spans="1:19" x14ac:dyDescent="0.4">
      <c r="N92" s="83"/>
    </row>
    <row r="93" spans="1:19" x14ac:dyDescent="0.4">
      <c r="N93" s="83"/>
    </row>
    <row r="94" spans="1:19" x14ac:dyDescent="0.4">
      <c r="N94" s="83"/>
    </row>
    <row r="95" spans="1:19" x14ac:dyDescent="0.4">
      <c r="N95" s="83"/>
    </row>
    <row r="96" spans="1:19" x14ac:dyDescent="0.4">
      <c r="N96" s="83"/>
    </row>
    <row r="97" spans="14:14" x14ac:dyDescent="0.4">
      <c r="N97" s="83"/>
    </row>
    <row r="98" spans="14:14" x14ac:dyDescent="0.4">
      <c r="N98" s="83"/>
    </row>
    <row r="99" spans="14:14" x14ac:dyDescent="0.4">
      <c r="N99" s="83"/>
    </row>
    <row r="100" spans="14:14" x14ac:dyDescent="0.4">
      <c r="N100" s="83"/>
    </row>
    <row r="101" spans="14:14" x14ac:dyDescent="0.4">
      <c r="N101" s="83"/>
    </row>
    <row r="102" spans="14:14" x14ac:dyDescent="0.4">
      <c r="N102" s="83"/>
    </row>
    <row r="103" spans="14:14" x14ac:dyDescent="0.4">
      <c r="N103" s="83"/>
    </row>
    <row r="104" spans="14:14" x14ac:dyDescent="0.4">
      <c r="N104" s="83"/>
    </row>
    <row r="105" spans="14:14" x14ac:dyDescent="0.4">
      <c r="N105" s="83"/>
    </row>
    <row r="106" spans="14:14" x14ac:dyDescent="0.4">
      <c r="N106" s="83"/>
    </row>
    <row r="107" spans="14:14" x14ac:dyDescent="0.4">
      <c r="N107" s="83"/>
    </row>
    <row r="108" spans="14:14" x14ac:dyDescent="0.4">
      <c r="N108" s="83"/>
    </row>
    <row r="109" spans="14:14" x14ac:dyDescent="0.4">
      <c r="N109" s="83"/>
    </row>
    <row r="110" spans="14:14" x14ac:dyDescent="0.4">
      <c r="N110" s="83"/>
    </row>
    <row r="111" spans="14:14" x14ac:dyDescent="0.4">
      <c r="N111" s="83"/>
    </row>
    <row r="112" spans="14:14" x14ac:dyDescent="0.4">
      <c r="N112" s="83"/>
    </row>
    <row r="113" spans="14:14" x14ac:dyDescent="0.4">
      <c r="N113" s="83"/>
    </row>
    <row r="114" spans="14:14" x14ac:dyDescent="0.4">
      <c r="N114" s="83"/>
    </row>
    <row r="115" spans="14:14" x14ac:dyDescent="0.4">
      <c r="N115" s="83"/>
    </row>
    <row r="116" spans="14:14" x14ac:dyDescent="0.4">
      <c r="N116" s="83"/>
    </row>
    <row r="117" spans="14:14" x14ac:dyDescent="0.4">
      <c r="N117" s="83"/>
    </row>
    <row r="118" spans="14:14" x14ac:dyDescent="0.4">
      <c r="N118" s="83"/>
    </row>
    <row r="119" spans="14:14" x14ac:dyDescent="0.4">
      <c r="N119" s="83"/>
    </row>
    <row r="120" spans="14:14" x14ac:dyDescent="0.4">
      <c r="N120" s="83"/>
    </row>
    <row r="121" spans="14:14" x14ac:dyDescent="0.4">
      <c r="N121" s="83"/>
    </row>
    <row r="122" spans="14:14" x14ac:dyDescent="0.4">
      <c r="N122" s="83"/>
    </row>
    <row r="123" spans="14:14" x14ac:dyDescent="0.4">
      <c r="N123" s="83"/>
    </row>
    <row r="124" spans="14:14" x14ac:dyDescent="0.4">
      <c r="N124" s="83"/>
    </row>
    <row r="125" spans="14:14" x14ac:dyDescent="0.4">
      <c r="N125" s="83"/>
    </row>
    <row r="126" spans="14:14" x14ac:dyDescent="0.4">
      <c r="N126" s="83"/>
    </row>
    <row r="127" spans="14:14" x14ac:dyDescent="0.4">
      <c r="N127" s="83"/>
    </row>
    <row r="128" spans="14:14" x14ac:dyDescent="0.4">
      <c r="N128" s="83"/>
    </row>
    <row r="129" spans="14:14" x14ac:dyDescent="0.4">
      <c r="N129" s="83"/>
    </row>
    <row r="130" spans="14:14" x14ac:dyDescent="0.4">
      <c r="N130" s="83"/>
    </row>
    <row r="131" spans="14:14" x14ac:dyDescent="0.4">
      <c r="N131" s="83"/>
    </row>
    <row r="132" spans="14:14" x14ac:dyDescent="0.4">
      <c r="N132" s="83"/>
    </row>
    <row r="133" spans="14:14" x14ac:dyDescent="0.4">
      <c r="N133" s="83"/>
    </row>
    <row r="134" spans="14:14" x14ac:dyDescent="0.4">
      <c r="N134" s="83"/>
    </row>
    <row r="135" spans="14:14" x14ac:dyDescent="0.4">
      <c r="N135" s="83"/>
    </row>
    <row r="136" spans="14:14" x14ac:dyDescent="0.4">
      <c r="N136" s="83"/>
    </row>
    <row r="137" spans="14:14" x14ac:dyDescent="0.4">
      <c r="N137" s="83"/>
    </row>
    <row r="138" spans="14:14" x14ac:dyDescent="0.4">
      <c r="N138" s="83"/>
    </row>
    <row r="139" spans="14:14" x14ac:dyDescent="0.4">
      <c r="N139" s="83"/>
    </row>
    <row r="140" spans="14:14" x14ac:dyDescent="0.4">
      <c r="N140" s="83"/>
    </row>
    <row r="141" spans="14:14" x14ac:dyDescent="0.4">
      <c r="N141" s="83"/>
    </row>
    <row r="142" spans="14:14" x14ac:dyDescent="0.4">
      <c r="N142" s="83"/>
    </row>
    <row r="143" spans="14:14" x14ac:dyDescent="0.4">
      <c r="N143" s="83"/>
    </row>
    <row r="144" spans="14:14" x14ac:dyDescent="0.4">
      <c r="N144" s="83"/>
    </row>
    <row r="145" spans="14:14" x14ac:dyDescent="0.4">
      <c r="N145" s="83"/>
    </row>
    <row r="146" spans="14:14" x14ac:dyDescent="0.4">
      <c r="N146" s="83"/>
    </row>
    <row r="147" spans="14:14" x14ac:dyDescent="0.4">
      <c r="N147" s="83"/>
    </row>
    <row r="148" spans="14:14" x14ac:dyDescent="0.4">
      <c r="N148" s="83"/>
    </row>
    <row r="149" spans="14:14" x14ac:dyDescent="0.4">
      <c r="N149" s="83"/>
    </row>
    <row r="150" spans="14:14" x14ac:dyDescent="0.4">
      <c r="N150" s="83"/>
    </row>
    <row r="151" spans="14:14" x14ac:dyDescent="0.4">
      <c r="N151" s="83"/>
    </row>
    <row r="152" spans="14:14" x14ac:dyDescent="0.4">
      <c r="N152" s="83"/>
    </row>
    <row r="153" spans="14:14" x14ac:dyDescent="0.4">
      <c r="N153" s="83"/>
    </row>
    <row r="154" spans="14:14" x14ac:dyDescent="0.4">
      <c r="N154" s="83"/>
    </row>
    <row r="155" spans="14:14" x14ac:dyDescent="0.4">
      <c r="N155" s="83"/>
    </row>
    <row r="156" spans="14:14" x14ac:dyDescent="0.4">
      <c r="N156" s="83"/>
    </row>
    <row r="157" spans="14:14" x14ac:dyDescent="0.4">
      <c r="N157" s="83"/>
    </row>
    <row r="158" spans="14:14" x14ac:dyDescent="0.4">
      <c r="N158" s="83"/>
    </row>
    <row r="159" spans="14:14" x14ac:dyDescent="0.4">
      <c r="N159" s="83"/>
    </row>
    <row r="160" spans="14:14" x14ac:dyDescent="0.4">
      <c r="N160" s="83"/>
    </row>
    <row r="161" spans="14:14" x14ac:dyDescent="0.4">
      <c r="N161" s="83"/>
    </row>
    <row r="162" spans="14:14" x14ac:dyDescent="0.4">
      <c r="N162" s="83"/>
    </row>
    <row r="163" spans="14:14" x14ac:dyDescent="0.4">
      <c r="N163" s="83"/>
    </row>
    <row r="164" spans="14:14" x14ac:dyDescent="0.4">
      <c r="N164" s="83"/>
    </row>
    <row r="165" spans="14:14" x14ac:dyDescent="0.4">
      <c r="N165" s="83"/>
    </row>
    <row r="166" spans="14:14" x14ac:dyDescent="0.4">
      <c r="N166" s="83"/>
    </row>
    <row r="167" spans="14:14" x14ac:dyDescent="0.4">
      <c r="N167" s="83"/>
    </row>
    <row r="168" spans="14:14" x14ac:dyDescent="0.4">
      <c r="N168" s="83"/>
    </row>
    <row r="169" spans="14:14" x14ac:dyDescent="0.4">
      <c r="N169" s="83"/>
    </row>
    <row r="170" spans="14:14" x14ac:dyDescent="0.4">
      <c r="N170" s="83"/>
    </row>
    <row r="171" spans="14:14" x14ac:dyDescent="0.4">
      <c r="N171" s="83"/>
    </row>
    <row r="172" spans="14:14" x14ac:dyDescent="0.4">
      <c r="N172" s="83"/>
    </row>
    <row r="173" spans="14:14" x14ac:dyDescent="0.4">
      <c r="N173" s="83"/>
    </row>
    <row r="174" spans="14:14" x14ac:dyDescent="0.4">
      <c r="N174" s="83"/>
    </row>
    <row r="175" spans="14:14" x14ac:dyDescent="0.4">
      <c r="N175" s="83"/>
    </row>
    <row r="176" spans="14:14" x14ac:dyDescent="0.4">
      <c r="N176" s="83"/>
    </row>
    <row r="177" spans="14:14" x14ac:dyDescent="0.4">
      <c r="N177" s="83"/>
    </row>
    <row r="178" spans="14:14" x14ac:dyDescent="0.4">
      <c r="N178" s="83"/>
    </row>
    <row r="179" spans="14:14" x14ac:dyDescent="0.4">
      <c r="N179" s="83"/>
    </row>
    <row r="180" spans="14:14" x14ac:dyDescent="0.4">
      <c r="N180" s="83"/>
    </row>
    <row r="181" spans="14:14" x14ac:dyDescent="0.4">
      <c r="N181" s="83"/>
    </row>
    <row r="182" spans="14:14" x14ac:dyDescent="0.4">
      <c r="N182" s="83"/>
    </row>
    <row r="183" spans="14:14" x14ac:dyDescent="0.4">
      <c r="N183" s="83"/>
    </row>
    <row r="184" spans="14:14" x14ac:dyDescent="0.4">
      <c r="N184" s="83"/>
    </row>
    <row r="185" spans="14:14" x14ac:dyDescent="0.4">
      <c r="N185" s="83"/>
    </row>
    <row r="186" spans="14:14" x14ac:dyDescent="0.4">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types'!$A$2:$A$951</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types'!$A$2:$A$58</xm:f>
          </x14:formula1>
          <xm:sqref>T3:T13 AB36:AB38 T20:T1048576 P39:P81</xm:sqref>
        </x14:dataValidation>
        <x14:dataValidation type="list" allowBlank="1" showInputMessage="1" showErrorMessage="1" xr:uid="{00000000-0002-0000-0600-000005000000}">
          <x14:formula1>
            <xm:f>'Event types'!$A$2:$A$104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7"/>
  <sheetViews>
    <sheetView zoomScale="115" zoomScaleNormal="115" workbookViewId="0">
      <pane ySplit="1" topLeftCell="A23" activePane="bottomLeft" state="frozen"/>
      <selection pane="bottomLeft" activeCell="H44" sqref="H44"/>
    </sheetView>
  </sheetViews>
  <sheetFormatPr defaultRowHeight="14.6" x14ac:dyDescent="0.4"/>
  <cols>
    <col min="1" max="1" width="21.3828125" bestFit="1" customWidth="1"/>
    <col min="2" max="2" width="76.07421875" customWidth="1"/>
    <col min="3" max="3" width="45.15234375" bestFit="1" customWidth="1"/>
    <col min="4" max="4" width="12.53515625" customWidth="1"/>
    <col min="5" max="5" width="14.3046875" bestFit="1" customWidth="1"/>
  </cols>
  <sheetData>
    <row r="1" spans="1:6" x14ac:dyDescent="0.4">
      <c r="A1" s="112" t="s">
        <v>92</v>
      </c>
      <c r="B1" s="112" t="s">
        <v>132</v>
      </c>
      <c r="C1" s="112" t="s">
        <v>133</v>
      </c>
      <c r="D1" s="112" t="s">
        <v>134</v>
      </c>
      <c r="E1" s="112" t="s">
        <v>135</v>
      </c>
      <c r="F1" s="112" t="s">
        <v>136</v>
      </c>
    </row>
    <row r="2" spans="1:6" x14ac:dyDescent="0.4">
      <c r="A2" s="105" t="s">
        <v>106</v>
      </c>
      <c r="B2" s="105" t="s">
        <v>137</v>
      </c>
      <c r="C2" s="105" t="s">
        <v>138</v>
      </c>
      <c r="D2" s="105" t="s">
        <v>139</v>
      </c>
      <c r="E2" s="105" t="s">
        <v>140</v>
      </c>
      <c r="F2" s="105" t="s">
        <v>27</v>
      </c>
    </row>
    <row r="3" spans="1:6" x14ac:dyDescent="0.4">
      <c r="A3" s="105" t="s">
        <v>896</v>
      </c>
      <c r="B3" s="105" t="s">
        <v>912</v>
      </c>
      <c r="C3" s="105" t="s">
        <v>905</v>
      </c>
      <c r="D3" s="105" t="s">
        <v>904</v>
      </c>
      <c r="E3" s="105" t="s">
        <v>140</v>
      </c>
      <c r="F3" s="105" t="s">
        <v>27</v>
      </c>
    </row>
    <row r="4" spans="1:6" x14ac:dyDescent="0.4">
      <c r="A4" s="105" t="s">
        <v>897</v>
      </c>
      <c r="B4" s="105" t="s">
        <v>913</v>
      </c>
      <c r="C4" s="105" t="s">
        <v>905</v>
      </c>
      <c r="D4" s="105" t="s">
        <v>904</v>
      </c>
      <c r="E4" s="105" t="s">
        <v>140</v>
      </c>
      <c r="F4" s="105" t="s">
        <v>27</v>
      </c>
    </row>
    <row r="5" spans="1:6" x14ac:dyDescent="0.4">
      <c r="A5" s="105" t="s">
        <v>898</v>
      </c>
      <c r="B5" s="105" t="s">
        <v>914</v>
      </c>
      <c r="C5" s="105" t="s">
        <v>905</v>
      </c>
      <c r="D5" s="105" t="s">
        <v>904</v>
      </c>
      <c r="E5" s="105" t="s">
        <v>140</v>
      </c>
      <c r="F5" s="105" t="s">
        <v>27</v>
      </c>
    </row>
    <row r="6" spans="1:6" x14ac:dyDescent="0.4">
      <c r="A6" s="105" t="s">
        <v>899</v>
      </c>
      <c r="B6" s="105" t="s">
        <v>915</v>
      </c>
      <c r="C6" s="105" t="s">
        <v>905</v>
      </c>
      <c r="D6" s="105" t="s">
        <v>904</v>
      </c>
      <c r="E6" s="105" t="s">
        <v>140</v>
      </c>
      <c r="F6" s="105" t="s">
        <v>27</v>
      </c>
    </row>
    <row r="7" spans="1:6" x14ac:dyDescent="0.4">
      <c r="A7" s="105" t="s">
        <v>711</v>
      </c>
      <c r="B7" s="105" t="s">
        <v>714</v>
      </c>
      <c r="C7" s="105" t="s">
        <v>715</v>
      </c>
      <c r="D7" s="105" t="s">
        <v>139</v>
      </c>
      <c r="E7" s="105" t="s">
        <v>140</v>
      </c>
      <c r="F7" s="105" t="s">
        <v>27</v>
      </c>
    </row>
    <row r="8" spans="1:6" x14ac:dyDescent="0.4">
      <c r="A8" s="105" t="s">
        <v>900</v>
      </c>
      <c r="B8" s="105" t="s">
        <v>916</v>
      </c>
      <c r="C8" s="105" t="s">
        <v>906</v>
      </c>
      <c r="D8" s="105" t="s">
        <v>904</v>
      </c>
      <c r="E8" s="105" t="s">
        <v>140</v>
      </c>
      <c r="F8" s="105" t="s">
        <v>27</v>
      </c>
    </row>
    <row r="9" spans="1:6" x14ac:dyDescent="0.4">
      <c r="A9" s="105" t="s">
        <v>901</v>
      </c>
      <c r="B9" s="105" t="s">
        <v>917</v>
      </c>
      <c r="C9" s="105" t="s">
        <v>906</v>
      </c>
      <c r="D9" s="105" t="s">
        <v>904</v>
      </c>
      <c r="E9" s="105" t="s">
        <v>140</v>
      </c>
      <c r="F9" s="105" t="s">
        <v>27</v>
      </c>
    </row>
    <row r="10" spans="1:6" x14ac:dyDescent="0.4">
      <c r="A10" s="105" t="s">
        <v>902</v>
      </c>
      <c r="B10" s="105" t="s">
        <v>918</v>
      </c>
      <c r="C10" s="105" t="s">
        <v>906</v>
      </c>
      <c r="D10" s="105" t="s">
        <v>904</v>
      </c>
      <c r="E10" s="105" t="s">
        <v>140</v>
      </c>
      <c r="F10" s="105" t="s">
        <v>27</v>
      </c>
    </row>
    <row r="11" spans="1:6" x14ac:dyDescent="0.4">
      <c r="A11" s="105" t="s">
        <v>903</v>
      </c>
      <c r="B11" s="105" t="s">
        <v>919</v>
      </c>
      <c r="C11" s="105" t="s">
        <v>906</v>
      </c>
      <c r="D11" s="105" t="s">
        <v>904</v>
      </c>
      <c r="E11" s="105" t="s">
        <v>140</v>
      </c>
      <c r="F11" s="105" t="s">
        <v>27</v>
      </c>
    </row>
    <row r="12" spans="1:6" x14ac:dyDescent="0.4">
      <c r="A12" s="105" t="s">
        <v>111</v>
      </c>
      <c r="B12" s="105" t="s">
        <v>141</v>
      </c>
      <c r="C12" s="105" t="s">
        <v>138</v>
      </c>
      <c r="D12" s="105" t="s">
        <v>139</v>
      </c>
      <c r="E12" s="105" t="s">
        <v>140</v>
      </c>
      <c r="F12" s="105" t="s">
        <v>27</v>
      </c>
    </row>
    <row r="13" spans="1:6" x14ac:dyDescent="0.4">
      <c r="A13" s="105" t="s">
        <v>712</v>
      </c>
      <c r="B13" s="105" t="s">
        <v>713</v>
      </c>
      <c r="C13" s="105" t="s">
        <v>716</v>
      </c>
      <c r="D13" s="105" t="s">
        <v>13</v>
      </c>
      <c r="E13" s="105" t="s">
        <v>10</v>
      </c>
      <c r="F13" s="105" t="s">
        <v>10</v>
      </c>
    </row>
    <row r="14" spans="1:6" x14ac:dyDescent="0.4">
      <c r="A14" s="105" t="s">
        <v>108</v>
      </c>
      <c r="B14" s="105" t="s">
        <v>142</v>
      </c>
      <c r="C14" s="105" t="s">
        <v>143</v>
      </c>
      <c r="D14" s="105" t="s">
        <v>139</v>
      </c>
      <c r="E14" s="105" t="s">
        <v>140</v>
      </c>
      <c r="F14" s="105" t="s">
        <v>27</v>
      </c>
    </row>
    <row r="15" spans="1:6" x14ac:dyDescent="0.4">
      <c r="A15" s="105" t="s">
        <v>109</v>
      </c>
      <c r="B15" s="105" t="s">
        <v>144</v>
      </c>
      <c r="C15" s="105" t="s">
        <v>143</v>
      </c>
      <c r="D15" s="105" t="s">
        <v>139</v>
      </c>
      <c r="E15" s="105" t="s">
        <v>140</v>
      </c>
      <c r="F15" s="105" t="s">
        <v>27</v>
      </c>
    </row>
    <row r="16" spans="1:6" x14ac:dyDescent="0.4">
      <c r="A16" s="105" t="s">
        <v>114</v>
      </c>
      <c r="B16" s="105" t="s">
        <v>145</v>
      </c>
      <c r="C16" s="105" t="s">
        <v>146</v>
      </c>
      <c r="D16" s="105" t="s">
        <v>147</v>
      </c>
      <c r="E16" s="105" t="s">
        <v>140</v>
      </c>
      <c r="F16" s="105" t="s">
        <v>148</v>
      </c>
    </row>
    <row r="17" spans="1:6" x14ac:dyDescent="0.4">
      <c r="A17" s="105" t="s">
        <v>107</v>
      </c>
      <c r="B17" s="105" t="s">
        <v>149</v>
      </c>
      <c r="C17" s="105" t="s">
        <v>146</v>
      </c>
      <c r="D17" s="105" t="s">
        <v>150</v>
      </c>
      <c r="E17" s="105" t="s">
        <v>140</v>
      </c>
      <c r="F17" s="105" t="s">
        <v>151</v>
      </c>
    </row>
    <row r="18" spans="1:6" x14ac:dyDescent="0.4">
      <c r="A18" s="105" t="s">
        <v>119</v>
      </c>
      <c r="B18" s="105" t="s">
        <v>152</v>
      </c>
      <c r="C18" s="105" t="s">
        <v>119</v>
      </c>
      <c r="D18" s="106" t="s">
        <v>10</v>
      </c>
      <c r="E18" s="105" t="s">
        <v>153</v>
      </c>
      <c r="F18" s="106" t="s">
        <v>10</v>
      </c>
    </row>
    <row r="19" spans="1:6" x14ac:dyDescent="0.4">
      <c r="A19" s="105" t="s">
        <v>115</v>
      </c>
      <c r="B19" s="105" t="s">
        <v>154</v>
      </c>
      <c r="C19" s="105" t="s">
        <v>155</v>
      </c>
      <c r="D19" s="105" t="s">
        <v>139</v>
      </c>
      <c r="E19" s="105" t="s">
        <v>156</v>
      </c>
      <c r="F19" s="105" t="s">
        <v>26</v>
      </c>
    </row>
    <row r="20" spans="1:6" x14ac:dyDescent="0.4">
      <c r="A20" s="105" t="s">
        <v>116</v>
      </c>
      <c r="B20" s="105" t="s">
        <v>157</v>
      </c>
      <c r="C20" s="105" t="s">
        <v>155</v>
      </c>
      <c r="D20" s="105" t="s">
        <v>139</v>
      </c>
      <c r="E20" s="105" t="s">
        <v>156</v>
      </c>
      <c r="F20" s="105" t="s">
        <v>26</v>
      </c>
    </row>
    <row r="21" spans="1:6" x14ac:dyDescent="0.4">
      <c r="A21" s="105" t="s">
        <v>118</v>
      </c>
      <c r="B21" s="105" t="s">
        <v>158</v>
      </c>
      <c r="C21" s="105" t="s">
        <v>155</v>
      </c>
      <c r="D21" s="105" t="s">
        <v>139</v>
      </c>
      <c r="E21" s="105" t="s">
        <v>156</v>
      </c>
      <c r="F21" s="105" t="s">
        <v>26</v>
      </c>
    </row>
    <row r="22" spans="1:6" x14ac:dyDescent="0.4">
      <c r="A22" s="105" t="s">
        <v>117</v>
      </c>
      <c r="B22" s="105" t="s">
        <v>159</v>
      </c>
      <c r="C22" s="105" t="s">
        <v>155</v>
      </c>
      <c r="D22" s="105" t="s">
        <v>139</v>
      </c>
      <c r="E22" s="105" t="s">
        <v>156</v>
      </c>
      <c r="F22" s="105" t="s">
        <v>26</v>
      </c>
    </row>
    <row r="23" spans="1:6" x14ac:dyDescent="0.4">
      <c r="A23" s="105" t="s">
        <v>160</v>
      </c>
      <c r="B23" s="105" t="s">
        <v>154</v>
      </c>
      <c r="C23" s="105" t="s">
        <v>161</v>
      </c>
      <c r="D23" s="105" t="s">
        <v>18</v>
      </c>
      <c r="E23" s="105" t="s">
        <v>162</v>
      </c>
      <c r="F23" s="105" t="s">
        <v>18</v>
      </c>
    </row>
    <row r="24" spans="1:6" x14ac:dyDescent="0.4">
      <c r="A24" s="105" t="s">
        <v>163</v>
      </c>
      <c r="B24" s="105" t="s">
        <v>157</v>
      </c>
      <c r="C24" s="105" t="s">
        <v>161</v>
      </c>
      <c r="D24" s="105" t="s">
        <v>18</v>
      </c>
      <c r="E24" s="105" t="s">
        <v>162</v>
      </c>
      <c r="F24" s="105" t="s">
        <v>18</v>
      </c>
    </row>
    <row r="25" spans="1:6" x14ac:dyDescent="0.4">
      <c r="A25" s="105" t="s">
        <v>164</v>
      </c>
      <c r="B25" s="105" t="s">
        <v>158</v>
      </c>
      <c r="C25" s="105" t="s">
        <v>161</v>
      </c>
      <c r="D25" s="105" t="s">
        <v>18</v>
      </c>
      <c r="E25" s="105" t="s">
        <v>162</v>
      </c>
      <c r="F25" s="105" t="s">
        <v>18</v>
      </c>
    </row>
    <row r="26" spans="1:6" x14ac:dyDescent="0.4">
      <c r="A26" s="105" t="s">
        <v>130</v>
      </c>
      <c r="B26" s="105" t="s">
        <v>159</v>
      </c>
      <c r="C26" s="105" t="s">
        <v>161</v>
      </c>
      <c r="D26" s="105" t="s">
        <v>18</v>
      </c>
      <c r="E26" s="105" t="s">
        <v>162</v>
      </c>
      <c r="F26" s="105" t="s">
        <v>18</v>
      </c>
    </row>
    <row r="27" spans="1:6" x14ac:dyDescent="0.4">
      <c r="A27" s="105" t="s">
        <v>131</v>
      </c>
      <c r="B27" s="105" t="s">
        <v>165</v>
      </c>
      <c r="C27" s="105" t="s">
        <v>166</v>
      </c>
      <c r="D27" s="105" t="s">
        <v>166</v>
      </c>
      <c r="E27" s="105" t="s">
        <v>166</v>
      </c>
      <c r="F27" s="105" t="s">
        <v>166</v>
      </c>
    </row>
    <row r="28" spans="1:6" ht="29.15" x14ac:dyDescent="0.4">
      <c r="A28" s="107" t="s">
        <v>167</v>
      </c>
      <c r="B28" s="108" t="s">
        <v>168</v>
      </c>
      <c r="C28" s="107" t="s">
        <v>169</v>
      </c>
      <c r="D28" s="107" t="s">
        <v>166</v>
      </c>
      <c r="E28" s="107" t="s">
        <v>170</v>
      </c>
      <c r="F28" s="109" t="s">
        <v>10</v>
      </c>
    </row>
    <row r="29" spans="1:6" ht="29.15" x14ac:dyDescent="0.4">
      <c r="A29" s="107" t="s">
        <v>128</v>
      </c>
      <c r="B29" s="108" t="s">
        <v>171</v>
      </c>
      <c r="C29" s="107" t="s">
        <v>169</v>
      </c>
      <c r="D29" s="107" t="s">
        <v>166</v>
      </c>
      <c r="E29" s="107" t="s">
        <v>170</v>
      </c>
      <c r="F29" s="109" t="s">
        <v>10</v>
      </c>
    </row>
    <row r="30" spans="1:6" ht="29.15" x14ac:dyDescent="0.4">
      <c r="A30" s="107" t="s">
        <v>124</v>
      </c>
      <c r="B30" s="108" t="s">
        <v>172</v>
      </c>
      <c r="C30" s="107" t="s">
        <v>169</v>
      </c>
      <c r="D30" s="107" t="s">
        <v>166</v>
      </c>
      <c r="E30" s="107" t="s">
        <v>170</v>
      </c>
      <c r="F30" s="109" t="s">
        <v>10</v>
      </c>
    </row>
    <row r="31" spans="1:6" ht="29.15" x14ac:dyDescent="0.4">
      <c r="A31" s="107" t="s">
        <v>127</v>
      </c>
      <c r="B31" s="108" t="s">
        <v>173</v>
      </c>
      <c r="C31" s="107" t="s">
        <v>169</v>
      </c>
      <c r="D31" s="107" t="s">
        <v>166</v>
      </c>
      <c r="E31" s="107" t="s">
        <v>170</v>
      </c>
      <c r="F31" s="109" t="s">
        <v>10</v>
      </c>
    </row>
    <row r="32" spans="1:6" ht="29.15" x14ac:dyDescent="0.4">
      <c r="A32" s="107" t="s">
        <v>174</v>
      </c>
      <c r="B32" s="108" t="s">
        <v>175</v>
      </c>
      <c r="C32" s="107" t="s">
        <v>169</v>
      </c>
      <c r="D32" s="107" t="s">
        <v>166</v>
      </c>
      <c r="E32" s="107" t="s">
        <v>170</v>
      </c>
      <c r="F32" s="109" t="s">
        <v>10</v>
      </c>
    </row>
    <row r="33" spans="1:6" ht="44.25" customHeight="1" x14ac:dyDescent="0.4">
      <c r="A33" s="107" t="s">
        <v>121</v>
      </c>
      <c r="B33" s="108" t="s">
        <v>176</v>
      </c>
      <c r="C33" s="107" t="s">
        <v>169</v>
      </c>
      <c r="D33" s="107" t="s">
        <v>166</v>
      </c>
      <c r="E33" s="107" t="s">
        <v>170</v>
      </c>
      <c r="F33" s="109" t="s">
        <v>10</v>
      </c>
    </row>
    <row r="34" spans="1:6" s="123" customFormat="1" ht="44.25" customHeight="1" x14ac:dyDescent="0.4">
      <c r="A34" s="382" t="s">
        <v>943</v>
      </c>
      <c r="B34" s="383" t="s">
        <v>945</v>
      </c>
      <c r="C34" s="382" t="s">
        <v>920</v>
      </c>
      <c r="D34" s="382" t="s">
        <v>166</v>
      </c>
      <c r="E34" s="382" t="s">
        <v>10</v>
      </c>
      <c r="F34" s="384" t="s">
        <v>10</v>
      </c>
    </row>
    <row r="35" spans="1:6" s="123" customFormat="1" ht="44.25" customHeight="1" x14ac:dyDescent="0.4">
      <c r="A35" s="382" t="s">
        <v>944</v>
      </c>
      <c r="B35" s="383" t="s">
        <v>946</v>
      </c>
      <c r="C35" s="382" t="s">
        <v>920</v>
      </c>
      <c r="D35" s="382" t="s">
        <v>166</v>
      </c>
      <c r="E35" s="382" t="s">
        <v>10</v>
      </c>
      <c r="F35" s="384" t="s">
        <v>10</v>
      </c>
    </row>
    <row r="36" spans="1:6" x14ac:dyDescent="0.4">
      <c r="A36" s="107" t="s">
        <v>113</v>
      </c>
      <c r="B36" s="108" t="s">
        <v>227</v>
      </c>
      <c r="C36" s="107" t="s">
        <v>177</v>
      </c>
      <c r="D36" s="109" t="s">
        <v>178</v>
      </c>
      <c r="E36" s="107" t="s">
        <v>140</v>
      </c>
      <c r="F36" s="109" t="s">
        <v>179</v>
      </c>
    </row>
    <row r="37" spans="1:6" x14ac:dyDescent="0.4">
      <c r="A37" s="107" t="s">
        <v>123</v>
      </c>
      <c r="B37" s="108" t="s">
        <v>228</v>
      </c>
      <c r="C37" s="107" t="s">
        <v>177</v>
      </c>
      <c r="D37" s="109" t="s">
        <v>178</v>
      </c>
      <c r="E37" s="107" t="s">
        <v>140</v>
      </c>
      <c r="F37" s="109" t="s">
        <v>179</v>
      </c>
    </row>
    <row r="38" spans="1:6" x14ac:dyDescent="0.4">
      <c r="A38" s="107" t="s">
        <v>180</v>
      </c>
      <c r="B38" s="108" t="s">
        <v>229</v>
      </c>
      <c r="C38" s="107" t="s">
        <v>177</v>
      </c>
      <c r="D38" s="109" t="s">
        <v>178</v>
      </c>
      <c r="E38" s="107" t="s">
        <v>140</v>
      </c>
      <c r="F38" s="109" t="s">
        <v>179</v>
      </c>
    </row>
    <row r="39" spans="1:6" x14ac:dyDescent="0.4">
      <c r="A39" s="107" t="s">
        <v>181</v>
      </c>
      <c r="B39" s="108" t="s">
        <v>230</v>
      </c>
      <c r="C39" s="107" t="s">
        <v>177</v>
      </c>
      <c r="D39" s="109" t="s">
        <v>178</v>
      </c>
      <c r="E39" s="107" t="s">
        <v>140</v>
      </c>
      <c r="F39" s="109" t="s">
        <v>179</v>
      </c>
    </row>
    <row r="40" spans="1:6" x14ac:dyDescent="0.4">
      <c r="A40" s="107" t="s">
        <v>129</v>
      </c>
      <c r="B40" s="108" t="s">
        <v>231</v>
      </c>
      <c r="C40" s="107" t="s">
        <v>177</v>
      </c>
      <c r="D40" s="109" t="s">
        <v>178</v>
      </c>
      <c r="E40" s="107" t="s">
        <v>140</v>
      </c>
      <c r="F40" s="109" t="s">
        <v>179</v>
      </c>
    </row>
    <row r="41" spans="1:6" x14ac:dyDescent="0.4">
      <c r="A41" s="107" t="s">
        <v>182</v>
      </c>
      <c r="B41" s="108" t="s">
        <v>232</v>
      </c>
      <c r="C41" s="107" t="s">
        <v>177</v>
      </c>
      <c r="D41" s="109" t="s">
        <v>178</v>
      </c>
      <c r="E41" s="107" t="s">
        <v>140</v>
      </c>
      <c r="F41" s="109" t="s">
        <v>179</v>
      </c>
    </row>
    <row r="42" spans="1:6" x14ac:dyDescent="0.4">
      <c r="A42" s="107" t="s">
        <v>183</v>
      </c>
      <c r="B42" s="108" t="s">
        <v>233</v>
      </c>
      <c r="C42" s="107" t="s">
        <v>177</v>
      </c>
      <c r="D42" s="109" t="s">
        <v>178</v>
      </c>
      <c r="E42" s="107" t="s">
        <v>140</v>
      </c>
      <c r="F42" s="109" t="s">
        <v>179</v>
      </c>
    </row>
    <row r="43" spans="1:6" x14ac:dyDescent="0.4">
      <c r="A43" s="107" t="s">
        <v>184</v>
      </c>
      <c r="B43" s="108" t="s">
        <v>234</v>
      </c>
      <c r="C43" s="107" t="s">
        <v>177</v>
      </c>
      <c r="D43" s="109" t="s">
        <v>178</v>
      </c>
      <c r="E43" s="107" t="s">
        <v>140</v>
      </c>
      <c r="F43" s="109" t="s">
        <v>179</v>
      </c>
    </row>
    <row r="44" spans="1:6" x14ac:dyDescent="0.4">
      <c r="A44" s="107" t="s">
        <v>185</v>
      </c>
      <c r="B44" s="108" t="s">
        <v>235</v>
      </c>
      <c r="C44" s="107" t="s">
        <v>177</v>
      </c>
      <c r="D44" s="109" t="s">
        <v>178</v>
      </c>
      <c r="E44" s="107" t="s">
        <v>140</v>
      </c>
      <c r="F44" s="109" t="s">
        <v>179</v>
      </c>
    </row>
    <row r="45" spans="1:6" x14ac:dyDescent="0.4">
      <c r="A45" s="107" t="s">
        <v>186</v>
      </c>
      <c r="B45" s="108" t="s">
        <v>236</v>
      </c>
      <c r="C45" s="107" t="s">
        <v>177</v>
      </c>
      <c r="D45" s="109" t="s">
        <v>178</v>
      </c>
      <c r="E45" s="107" t="s">
        <v>140</v>
      </c>
      <c r="F45" s="109" t="s">
        <v>179</v>
      </c>
    </row>
    <row r="46" spans="1:6" ht="29.15" x14ac:dyDescent="0.4">
      <c r="A46" s="107" t="s">
        <v>187</v>
      </c>
      <c r="B46" s="108" t="s">
        <v>188</v>
      </c>
      <c r="C46" s="107" t="s">
        <v>169</v>
      </c>
      <c r="D46" s="107" t="s">
        <v>166</v>
      </c>
      <c r="E46" s="107" t="s">
        <v>170</v>
      </c>
      <c r="F46" s="109" t="s">
        <v>10</v>
      </c>
    </row>
    <row r="47" spans="1:6" ht="29.15" x14ac:dyDescent="0.4">
      <c r="A47" s="107" t="s">
        <v>189</v>
      </c>
      <c r="B47" s="108" t="s">
        <v>190</v>
      </c>
      <c r="C47" s="107" t="s">
        <v>169</v>
      </c>
      <c r="D47" s="107" t="s">
        <v>166</v>
      </c>
      <c r="E47" s="107" t="s">
        <v>170</v>
      </c>
      <c r="F47" s="109" t="s">
        <v>10</v>
      </c>
    </row>
    <row r="48" spans="1:6" ht="29.15" x14ac:dyDescent="0.4">
      <c r="A48" s="107" t="s">
        <v>191</v>
      </c>
      <c r="B48" s="108" t="s">
        <v>192</v>
      </c>
      <c r="C48" s="107" t="s">
        <v>169</v>
      </c>
      <c r="D48" s="107" t="s">
        <v>166</v>
      </c>
      <c r="E48" s="107" t="s">
        <v>170</v>
      </c>
      <c r="F48" s="109" t="s">
        <v>10</v>
      </c>
    </row>
    <row r="49" spans="1:6" ht="29.15" x14ac:dyDescent="0.4">
      <c r="A49" s="107" t="s">
        <v>193</v>
      </c>
      <c r="B49" s="108" t="s">
        <v>194</v>
      </c>
      <c r="C49" s="107" t="s">
        <v>169</v>
      </c>
      <c r="D49" s="107" t="s">
        <v>166</v>
      </c>
      <c r="E49" s="107" t="s">
        <v>170</v>
      </c>
      <c r="F49" s="109" t="s">
        <v>10</v>
      </c>
    </row>
    <row r="50" spans="1:6" ht="29.15" x14ac:dyDescent="0.4">
      <c r="A50" s="107" t="s">
        <v>195</v>
      </c>
      <c r="B50" s="108" t="s">
        <v>196</v>
      </c>
      <c r="C50" s="107" t="s">
        <v>169</v>
      </c>
      <c r="D50" s="107" t="s">
        <v>166</v>
      </c>
      <c r="E50" s="107" t="s">
        <v>170</v>
      </c>
      <c r="F50" s="109" t="s">
        <v>10</v>
      </c>
    </row>
    <row r="51" spans="1:6" ht="29.15" x14ac:dyDescent="0.4">
      <c r="A51" s="107" t="s">
        <v>197</v>
      </c>
      <c r="B51" s="108" t="s">
        <v>198</v>
      </c>
      <c r="C51" s="107" t="s">
        <v>169</v>
      </c>
      <c r="D51" s="107" t="s">
        <v>166</v>
      </c>
      <c r="E51" s="107" t="s">
        <v>170</v>
      </c>
      <c r="F51" s="109" t="s">
        <v>10</v>
      </c>
    </row>
    <row r="52" spans="1:6" ht="29.15" x14ac:dyDescent="0.4">
      <c r="A52" s="107" t="s">
        <v>199</v>
      </c>
      <c r="B52" s="108" t="s">
        <v>200</v>
      </c>
      <c r="C52" s="107" t="s">
        <v>169</v>
      </c>
      <c r="D52" s="107" t="s">
        <v>166</v>
      </c>
      <c r="E52" s="107" t="s">
        <v>170</v>
      </c>
      <c r="F52" s="109" t="s">
        <v>10</v>
      </c>
    </row>
    <row r="53" spans="1:6" ht="29.15" x14ac:dyDescent="0.4">
      <c r="A53" s="107" t="s">
        <v>201</v>
      </c>
      <c r="B53" s="108" t="s">
        <v>202</v>
      </c>
      <c r="C53" s="107" t="s">
        <v>169</v>
      </c>
      <c r="D53" s="107" t="s">
        <v>166</v>
      </c>
      <c r="E53" s="107" t="s">
        <v>170</v>
      </c>
      <c r="F53" s="109" t="s">
        <v>10</v>
      </c>
    </row>
    <row r="54" spans="1:6" ht="29.15" x14ac:dyDescent="0.4">
      <c r="A54" s="107" t="s">
        <v>203</v>
      </c>
      <c r="B54" s="108" t="s">
        <v>204</v>
      </c>
      <c r="C54" s="107" t="s">
        <v>169</v>
      </c>
      <c r="D54" s="107" t="s">
        <v>166</v>
      </c>
      <c r="E54" s="107" t="s">
        <v>170</v>
      </c>
      <c r="F54" s="109" t="s">
        <v>10</v>
      </c>
    </row>
    <row r="55" spans="1:6" ht="29.15" x14ac:dyDescent="0.4">
      <c r="A55" s="107" t="s">
        <v>205</v>
      </c>
      <c r="B55" s="108" t="s">
        <v>206</v>
      </c>
      <c r="C55" s="107" t="s">
        <v>169</v>
      </c>
      <c r="D55" s="107" t="s">
        <v>166</v>
      </c>
      <c r="E55" s="107" t="s">
        <v>170</v>
      </c>
      <c r="F55" s="109" t="s">
        <v>10</v>
      </c>
    </row>
    <row r="56" spans="1:6" ht="29.15" x14ac:dyDescent="0.4">
      <c r="A56" s="110" t="s">
        <v>120</v>
      </c>
      <c r="B56" s="111" t="s">
        <v>207</v>
      </c>
      <c r="C56" s="110" t="s">
        <v>166</v>
      </c>
      <c r="D56" s="110" t="s">
        <v>166</v>
      </c>
      <c r="E56" s="110" t="s">
        <v>166</v>
      </c>
      <c r="F56" s="110" t="s">
        <v>166</v>
      </c>
    </row>
    <row r="57" spans="1:6" x14ac:dyDescent="0.4">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82"/>
  <sheetViews>
    <sheetView zoomScaleNormal="100" workbookViewId="0">
      <pane ySplit="1" topLeftCell="A158" activePane="bottomLeft" state="frozen"/>
      <selection pane="bottomLeft" activeCell="D193" sqref="D193"/>
    </sheetView>
  </sheetViews>
  <sheetFormatPr defaultRowHeight="14.6" x14ac:dyDescent="0.4"/>
  <cols>
    <col min="2" max="3" width="39.69140625" customWidth="1"/>
    <col min="4" max="4" width="127.69140625" style="144" customWidth="1"/>
  </cols>
  <sheetData>
    <row r="1" spans="1:4" ht="15" thickBot="1" x14ac:dyDescent="0.45">
      <c r="A1" s="327" t="s">
        <v>89</v>
      </c>
      <c r="B1" s="13" t="s">
        <v>92</v>
      </c>
      <c r="C1" s="328" t="s">
        <v>478</v>
      </c>
      <c r="D1" s="332" t="s">
        <v>0</v>
      </c>
    </row>
    <row r="2" spans="1:4" ht="15" customHeight="1" x14ac:dyDescent="0.4">
      <c r="A2" s="325">
        <v>1</v>
      </c>
      <c r="B2" s="325" t="s">
        <v>548</v>
      </c>
      <c r="C2" s="418" t="s">
        <v>361</v>
      </c>
      <c r="D2" s="146" t="s">
        <v>362</v>
      </c>
    </row>
    <row r="3" spans="1:4" x14ac:dyDescent="0.4">
      <c r="A3" s="326">
        <v>2</v>
      </c>
      <c r="B3" s="326" t="s">
        <v>549</v>
      </c>
      <c r="C3" s="419"/>
      <c r="D3" s="139" t="s">
        <v>363</v>
      </c>
    </row>
    <row r="4" spans="1:4" x14ac:dyDescent="0.4">
      <c r="A4" s="326">
        <v>3</v>
      </c>
      <c r="B4" s="326" t="s">
        <v>550</v>
      </c>
      <c r="C4" s="419"/>
      <c r="D4" s="139" t="s">
        <v>10</v>
      </c>
    </row>
    <row r="5" spans="1:4" x14ac:dyDescent="0.4">
      <c r="A5" s="326">
        <v>4</v>
      </c>
      <c r="B5" s="326" t="s">
        <v>551</v>
      </c>
      <c r="C5" s="419"/>
      <c r="D5" s="139" t="s">
        <v>10</v>
      </c>
    </row>
    <row r="6" spans="1:4" x14ac:dyDescent="0.4">
      <c r="A6" s="326">
        <v>5</v>
      </c>
      <c r="B6" s="326" t="s">
        <v>552</v>
      </c>
      <c r="C6" s="419"/>
      <c r="D6" s="139" t="s">
        <v>10</v>
      </c>
    </row>
    <row r="7" spans="1:4" x14ac:dyDescent="0.4">
      <c r="A7" s="326">
        <v>6</v>
      </c>
      <c r="B7" s="326" t="s">
        <v>553</v>
      </c>
      <c r="C7" s="419"/>
      <c r="D7" s="139" t="s">
        <v>10</v>
      </c>
    </row>
    <row r="8" spans="1:4" x14ac:dyDescent="0.4">
      <c r="A8" s="326">
        <v>7</v>
      </c>
      <c r="B8" s="326" t="s">
        <v>554</v>
      </c>
      <c r="C8" s="419"/>
      <c r="D8" s="139" t="s">
        <v>10</v>
      </c>
    </row>
    <row r="9" spans="1:4" x14ac:dyDescent="0.4">
      <c r="A9" s="326">
        <v>8</v>
      </c>
      <c r="B9" s="326" t="s">
        <v>555</v>
      </c>
      <c r="C9" s="419"/>
      <c r="D9" s="139" t="s">
        <v>10</v>
      </c>
    </row>
    <row r="10" spans="1:4" x14ac:dyDescent="0.4">
      <c r="A10" s="326">
        <v>9</v>
      </c>
      <c r="B10" s="326" t="s">
        <v>557</v>
      </c>
      <c r="C10" s="419"/>
      <c r="D10" s="139" t="s">
        <v>10</v>
      </c>
    </row>
    <row r="11" spans="1:4" ht="15" thickBot="1" x14ac:dyDescent="0.45">
      <c r="A11" s="205">
        <v>10</v>
      </c>
      <c r="B11" s="205" t="s">
        <v>556</v>
      </c>
      <c r="C11" s="420"/>
      <c r="D11" s="143" t="s">
        <v>10</v>
      </c>
    </row>
    <row r="12" spans="1:4" x14ac:dyDescent="0.4">
      <c r="A12" s="129">
        <v>11</v>
      </c>
      <c r="B12" s="129" t="s">
        <v>558</v>
      </c>
      <c r="C12" s="418" t="s">
        <v>364</v>
      </c>
      <c r="D12" s="146" t="s">
        <v>365</v>
      </c>
    </row>
    <row r="13" spans="1:4" x14ac:dyDescent="0.4">
      <c r="A13" s="130">
        <v>12</v>
      </c>
      <c r="B13" s="130" t="s">
        <v>559</v>
      </c>
      <c r="C13" s="419"/>
      <c r="D13" s="139" t="s">
        <v>366</v>
      </c>
    </row>
    <row r="14" spans="1:4" x14ac:dyDescent="0.4">
      <c r="A14" s="130">
        <v>13</v>
      </c>
      <c r="B14" s="130" t="s">
        <v>560</v>
      </c>
      <c r="C14" s="419"/>
      <c r="D14" s="139" t="s">
        <v>10</v>
      </c>
    </row>
    <row r="15" spans="1:4" x14ac:dyDescent="0.4">
      <c r="A15" s="130">
        <v>14</v>
      </c>
      <c r="B15" s="130" t="s">
        <v>561</v>
      </c>
      <c r="C15" s="419"/>
      <c r="D15" s="139" t="s">
        <v>10</v>
      </c>
    </row>
    <row r="16" spans="1:4" x14ac:dyDescent="0.4">
      <c r="A16" s="130">
        <v>15</v>
      </c>
      <c r="B16" s="130" t="s">
        <v>562</v>
      </c>
      <c r="C16" s="419"/>
      <c r="D16" s="139" t="s">
        <v>10</v>
      </c>
    </row>
    <row r="17" spans="1:4" ht="15" thickBot="1" x14ac:dyDescent="0.45">
      <c r="A17" s="131">
        <v>16</v>
      </c>
      <c r="B17" s="131" t="s">
        <v>563</v>
      </c>
      <c r="C17" s="420"/>
      <c r="D17" s="143" t="s">
        <v>10</v>
      </c>
    </row>
    <row r="18" spans="1:4" x14ac:dyDescent="0.4">
      <c r="A18" s="132">
        <v>17</v>
      </c>
      <c r="B18" s="132" t="s">
        <v>564</v>
      </c>
      <c r="C18" s="418" t="s">
        <v>107</v>
      </c>
      <c r="D18" s="146" t="s">
        <v>367</v>
      </c>
    </row>
    <row r="19" spans="1:4" x14ac:dyDescent="0.4">
      <c r="A19" s="134">
        <v>18</v>
      </c>
      <c r="B19" s="134" t="s">
        <v>565</v>
      </c>
      <c r="C19" s="419"/>
      <c r="D19" s="139" t="s">
        <v>921</v>
      </c>
    </row>
    <row r="20" spans="1:4" x14ac:dyDescent="0.4">
      <c r="A20" s="133">
        <v>19</v>
      </c>
      <c r="B20" s="133" t="s">
        <v>566</v>
      </c>
      <c r="C20" s="419"/>
      <c r="D20" s="139" t="s">
        <v>368</v>
      </c>
    </row>
    <row r="21" spans="1:4" x14ac:dyDescent="0.4">
      <c r="A21" s="133">
        <v>20</v>
      </c>
      <c r="B21" s="133" t="s">
        <v>567</v>
      </c>
      <c r="C21" s="419"/>
      <c r="D21" s="139" t="s">
        <v>369</v>
      </c>
    </row>
    <row r="22" spans="1:4" x14ac:dyDescent="0.4">
      <c r="A22" s="133">
        <v>21</v>
      </c>
      <c r="B22" s="133" t="s">
        <v>568</v>
      </c>
      <c r="C22" s="419"/>
      <c r="D22" s="139" t="s">
        <v>370</v>
      </c>
    </row>
    <row r="23" spans="1:4" x14ac:dyDescent="0.4">
      <c r="A23" s="133">
        <v>22</v>
      </c>
      <c r="B23" s="133" t="s">
        <v>569</v>
      </c>
      <c r="C23" s="419"/>
      <c r="D23" s="139" t="s">
        <v>371</v>
      </c>
    </row>
    <row r="24" spans="1:4" x14ac:dyDescent="0.4">
      <c r="A24" s="133">
        <v>23</v>
      </c>
      <c r="B24" s="133" t="s">
        <v>570</v>
      </c>
      <c r="C24" s="419"/>
      <c r="D24" s="139" t="s">
        <v>10</v>
      </c>
    </row>
    <row r="25" spans="1:4" x14ac:dyDescent="0.4">
      <c r="A25" s="133">
        <v>24</v>
      </c>
      <c r="B25" s="133" t="s">
        <v>571</v>
      </c>
      <c r="C25" s="419"/>
      <c r="D25" s="139" t="s">
        <v>372</v>
      </c>
    </row>
    <row r="26" spans="1:4" x14ac:dyDescent="0.4">
      <c r="A26" s="133">
        <v>25</v>
      </c>
      <c r="B26" s="133" t="s">
        <v>572</v>
      </c>
      <c r="C26" s="419"/>
      <c r="D26" s="139" t="s">
        <v>10</v>
      </c>
    </row>
    <row r="27" spans="1:4" ht="15" customHeight="1" x14ac:dyDescent="0.4">
      <c r="A27" s="134">
        <v>26</v>
      </c>
      <c r="B27" s="134" t="s">
        <v>632</v>
      </c>
      <c r="C27" s="419"/>
      <c r="D27" s="139" t="s">
        <v>373</v>
      </c>
    </row>
    <row r="28" spans="1:4" ht="15" thickBot="1" x14ac:dyDescent="0.45">
      <c r="A28" s="134">
        <v>27</v>
      </c>
      <c r="B28" s="134" t="s">
        <v>633</v>
      </c>
      <c r="C28" s="420"/>
      <c r="D28" s="139" t="s">
        <v>374</v>
      </c>
    </row>
    <row r="29" spans="1:4" ht="30" customHeight="1" x14ac:dyDescent="0.4">
      <c r="A29" s="136">
        <v>28</v>
      </c>
      <c r="B29" s="136" t="s">
        <v>573</v>
      </c>
      <c r="C29" s="418" t="s">
        <v>375</v>
      </c>
      <c r="D29" s="146" t="s">
        <v>376</v>
      </c>
    </row>
    <row r="30" spans="1:4" ht="58.3" x14ac:dyDescent="0.4">
      <c r="A30" s="137">
        <v>29</v>
      </c>
      <c r="B30" s="137" t="s">
        <v>574</v>
      </c>
      <c r="C30" s="419"/>
      <c r="D30" s="139" t="s">
        <v>487</v>
      </c>
    </row>
    <row r="31" spans="1:4" x14ac:dyDescent="0.4">
      <c r="A31" s="138">
        <v>30</v>
      </c>
      <c r="B31" s="138" t="s">
        <v>575</v>
      </c>
      <c r="C31" s="419"/>
      <c r="D31" s="139" t="s">
        <v>377</v>
      </c>
    </row>
    <row r="32" spans="1:4" x14ac:dyDescent="0.4">
      <c r="A32" s="138">
        <v>31</v>
      </c>
      <c r="B32" s="138" t="s">
        <v>576</v>
      </c>
      <c r="C32" s="419"/>
      <c r="D32" s="139" t="s">
        <v>378</v>
      </c>
    </row>
    <row r="33" spans="1:8" ht="29.15" x14ac:dyDescent="0.4">
      <c r="A33" s="138">
        <v>32</v>
      </c>
      <c r="B33" s="138" t="s">
        <v>577</v>
      </c>
      <c r="C33" s="419"/>
      <c r="D33" s="139" t="s">
        <v>379</v>
      </c>
    </row>
    <row r="34" spans="1:8" x14ac:dyDescent="0.4">
      <c r="A34" s="137">
        <v>33</v>
      </c>
      <c r="B34" s="137" t="s">
        <v>578</v>
      </c>
      <c r="C34" s="419"/>
      <c r="D34" s="139" t="s">
        <v>380</v>
      </c>
    </row>
    <row r="35" spans="1:8" x14ac:dyDescent="0.4">
      <c r="A35" s="138">
        <v>34</v>
      </c>
      <c r="B35" s="138" t="s">
        <v>579</v>
      </c>
      <c r="C35" s="419"/>
      <c r="D35" s="139" t="s">
        <v>381</v>
      </c>
    </row>
    <row r="36" spans="1:8" x14ac:dyDescent="0.4">
      <c r="A36" s="137">
        <v>35</v>
      </c>
      <c r="B36" s="137" t="s">
        <v>580</v>
      </c>
      <c r="C36" s="419"/>
      <c r="D36" s="139" t="s">
        <v>381</v>
      </c>
    </row>
    <row r="37" spans="1:8" x14ac:dyDescent="0.4">
      <c r="A37" s="138">
        <v>36</v>
      </c>
      <c r="B37" s="138" t="s">
        <v>581</v>
      </c>
      <c r="C37" s="419"/>
      <c r="D37" s="139" t="s">
        <v>382</v>
      </c>
    </row>
    <row r="38" spans="1:8" x14ac:dyDescent="0.4">
      <c r="A38" s="137">
        <v>37</v>
      </c>
      <c r="B38" s="137" t="s">
        <v>582</v>
      </c>
      <c r="C38" s="419"/>
      <c r="D38" s="139" t="s">
        <v>382</v>
      </c>
    </row>
    <row r="39" spans="1:8" ht="43.75" x14ac:dyDescent="0.4">
      <c r="A39" s="138">
        <v>38</v>
      </c>
      <c r="B39" s="138" t="s">
        <v>583</v>
      </c>
      <c r="C39" s="419"/>
      <c r="D39" s="139" t="s">
        <v>483</v>
      </c>
    </row>
    <row r="40" spans="1:8" ht="15" customHeight="1" x14ac:dyDescent="0.4">
      <c r="A40" s="137">
        <v>39</v>
      </c>
      <c r="B40" s="137" t="s">
        <v>584</v>
      </c>
      <c r="C40" s="419"/>
      <c r="D40" s="139" t="s">
        <v>383</v>
      </c>
    </row>
    <row r="41" spans="1:8" x14ac:dyDescent="0.4">
      <c r="A41" s="138">
        <v>40</v>
      </c>
      <c r="B41" s="138" t="s">
        <v>585</v>
      </c>
      <c r="C41" s="419"/>
      <c r="D41" s="139" t="s">
        <v>384</v>
      </c>
    </row>
    <row r="42" spans="1:8" ht="72.900000000000006" x14ac:dyDescent="0.4">
      <c r="A42" s="137">
        <v>41</v>
      </c>
      <c r="B42" s="137" t="s">
        <v>586</v>
      </c>
      <c r="C42" s="419"/>
      <c r="D42" s="139" t="s">
        <v>385</v>
      </c>
    </row>
    <row r="43" spans="1:8" ht="29.6" thickBot="1" x14ac:dyDescent="0.45">
      <c r="A43" s="141">
        <v>42</v>
      </c>
      <c r="B43" s="141" t="s">
        <v>587</v>
      </c>
      <c r="C43" s="420"/>
      <c r="D43" s="143" t="s">
        <v>386</v>
      </c>
      <c r="H43" s="144"/>
    </row>
    <row r="44" spans="1:8" ht="30" customHeight="1" x14ac:dyDescent="0.4">
      <c r="A44" s="145">
        <v>43</v>
      </c>
      <c r="B44" s="145" t="s">
        <v>588</v>
      </c>
      <c r="C44" s="418" t="s">
        <v>387</v>
      </c>
      <c r="D44" s="146" t="s">
        <v>388</v>
      </c>
    </row>
    <row r="45" spans="1:8" x14ac:dyDescent="0.4">
      <c r="A45" s="147">
        <v>44</v>
      </c>
      <c r="B45" s="147" t="s">
        <v>589</v>
      </c>
      <c r="C45" s="419"/>
      <c r="D45" s="139" t="s">
        <v>10</v>
      </c>
    </row>
    <row r="46" spans="1:8" x14ac:dyDescent="0.4">
      <c r="A46" s="147">
        <v>45</v>
      </c>
      <c r="B46" s="147" t="s">
        <v>590</v>
      </c>
      <c r="C46" s="419"/>
      <c r="D46" s="139" t="s">
        <v>388</v>
      </c>
    </row>
    <row r="47" spans="1:8" ht="29.15" x14ac:dyDescent="0.4">
      <c r="A47" s="147">
        <v>46</v>
      </c>
      <c r="B47" s="147" t="s">
        <v>591</v>
      </c>
      <c r="C47" s="419"/>
      <c r="D47" s="139" t="s">
        <v>389</v>
      </c>
    </row>
    <row r="48" spans="1:8" x14ac:dyDescent="0.4">
      <c r="A48" s="147">
        <v>47</v>
      </c>
      <c r="B48" s="147" t="s">
        <v>592</v>
      </c>
      <c r="C48" s="419"/>
      <c r="D48" s="139" t="s">
        <v>10</v>
      </c>
    </row>
    <row r="49" spans="1:4" x14ac:dyDescent="0.4">
      <c r="A49" s="147">
        <v>48</v>
      </c>
      <c r="B49" s="147" t="s">
        <v>593</v>
      </c>
      <c r="C49" s="419"/>
      <c r="D49" s="139" t="s">
        <v>390</v>
      </c>
    </row>
    <row r="50" spans="1:4" x14ac:dyDescent="0.4">
      <c r="A50" s="147">
        <v>49</v>
      </c>
      <c r="B50" s="147" t="s">
        <v>594</v>
      </c>
      <c r="C50" s="419"/>
      <c r="D50" s="139" t="s">
        <v>10</v>
      </c>
    </row>
    <row r="51" spans="1:4" ht="29.15" x14ac:dyDescent="0.4">
      <c r="A51" s="147">
        <v>50</v>
      </c>
      <c r="B51" s="147" t="s">
        <v>595</v>
      </c>
      <c r="C51" s="419"/>
      <c r="D51" s="139" t="s">
        <v>488</v>
      </c>
    </row>
    <row r="52" spans="1:4" ht="29.15" x14ac:dyDescent="0.4">
      <c r="A52" s="147">
        <v>51</v>
      </c>
      <c r="B52" s="147" t="s">
        <v>596</v>
      </c>
      <c r="C52" s="419"/>
      <c r="D52" s="139" t="s">
        <v>389</v>
      </c>
    </row>
    <row r="53" spans="1:4" ht="15" thickBot="1" x14ac:dyDescent="0.45">
      <c r="A53" s="148">
        <v>52</v>
      </c>
      <c r="B53" s="148" t="s">
        <v>597</v>
      </c>
      <c r="C53" s="420"/>
      <c r="D53" s="143" t="s">
        <v>10</v>
      </c>
    </row>
    <row r="54" spans="1:4" ht="43.75" x14ac:dyDescent="0.4">
      <c r="A54" s="149">
        <v>53</v>
      </c>
      <c r="B54" s="149" t="s">
        <v>598</v>
      </c>
      <c r="C54" s="418" t="s">
        <v>391</v>
      </c>
      <c r="D54" s="139" t="s">
        <v>392</v>
      </c>
    </row>
    <row r="55" spans="1:4" x14ac:dyDescent="0.4">
      <c r="A55" s="149">
        <v>54</v>
      </c>
      <c r="B55" s="149" t="s">
        <v>599</v>
      </c>
      <c r="C55" s="419"/>
      <c r="D55" s="139" t="s">
        <v>393</v>
      </c>
    </row>
    <row r="56" spans="1:4" x14ac:dyDescent="0.4">
      <c r="A56" s="149">
        <v>55</v>
      </c>
      <c r="B56" s="149" t="s">
        <v>733</v>
      </c>
      <c r="C56" s="419"/>
      <c r="D56" s="139" t="s">
        <v>394</v>
      </c>
    </row>
    <row r="57" spans="1:4" ht="15" thickBot="1" x14ac:dyDescent="0.45">
      <c r="A57" s="149">
        <v>56</v>
      </c>
      <c r="B57" s="149" t="s">
        <v>722</v>
      </c>
      <c r="C57" s="420"/>
      <c r="D57" s="139" t="s">
        <v>395</v>
      </c>
    </row>
    <row r="58" spans="1:4" ht="29.15" x14ac:dyDescent="0.4">
      <c r="A58" s="194">
        <v>57</v>
      </c>
      <c r="B58" s="194" t="s">
        <v>728</v>
      </c>
      <c r="C58" s="418" t="s">
        <v>923</v>
      </c>
      <c r="D58" s="146" t="s">
        <v>940</v>
      </c>
    </row>
    <row r="59" spans="1:4" ht="29.15" x14ac:dyDescent="0.4">
      <c r="A59" s="236">
        <v>58</v>
      </c>
      <c r="B59" s="236" t="s">
        <v>729</v>
      </c>
      <c r="C59" s="419"/>
      <c r="D59" s="238" t="s">
        <v>941</v>
      </c>
    </row>
    <row r="60" spans="1:4" ht="87.9" thickBot="1" x14ac:dyDescent="0.45">
      <c r="A60" s="150">
        <v>59</v>
      </c>
      <c r="B60" s="150" t="s">
        <v>730</v>
      </c>
      <c r="C60" s="420"/>
      <c r="D60" s="143" t="s">
        <v>486</v>
      </c>
    </row>
    <row r="61" spans="1:4" x14ac:dyDescent="0.4">
      <c r="A61" s="151">
        <v>60</v>
      </c>
      <c r="B61" s="151" t="s">
        <v>600</v>
      </c>
      <c r="C61" s="418" t="s">
        <v>397</v>
      </c>
      <c r="D61" s="139" t="s">
        <v>398</v>
      </c>
    </row>
    <row r="62" spans="1:4" x14ac:dyDescent="0.4">
      <c r="A62" s="151">
        <v>61</v>
      </c>
      <c r="B62" s="151" t="s">
        <v>601</v>
      </c>
      <c r="C62" s="419"/>
      <c r="D62" s="139" t="s">
        <v>399</v>
      </c>
    </row>
    <row r="63" spans="1:4" x14ac:dyDescent="0.4">
      <c r="A63" s="151">
        <v>62</v>
      </c>
      <c r="B63" s="151" t="s">
        <v>602</v>
      </c>
      <c r="C63" s="419"/>
      <c r="D63" s="139" t="s">
        <v>400</v>
      </c>
    </row>
    <row r="64" spans="1:4" x14ac:dyDescent="0.4">
      <c r="A64" s="151">
        <v>63</v>
      </c>
      <c r="B64" s="151" t="s">
        <v>603</v>
      </c>
      <c r="C64" s="419"/>
      <c r="D64" s="139" t="s">
        <v>401</v>
      </c>
    </row>
    <row r="65" spans="1:4" x14ac:dyDescent="0.4">
      <c r="A65" s="151">
        <v>64</v>
      </c>
      <c r="B65" s="151" t="s">
        <v>604</v>
      </c>
      <c r="C65" s="419"/>
      <c r="D65" s="139" t="s">
        <v>402</v>
      </c>
    </row>
    <row r="66" spans="1:4" x14ac:dyDescent="0.4">
      <c r="A66" s="151">
        <v>65</v>
      </c>
      <c r="B66" s="151" t="s">
        <v>605</v>
      </c>
      <c r="C66" s="419"/>
      <c r="D66" s="139" t="s">
        <v>403</v>
      </c>
    </row>
    <row r="67" spans="1:4" x14ac:dyDescent="0.4">
      <c r="A67" s="151">
        <v>66</v>
      </c>
      <c r="B67" s="151" t="s">
        <v>606</v>
      </c>
      <c r="C67" s="419"/>
      <c r="D67" s="139" t="s">
        <v>404</v>
      </c>
    </row>
    <row r="68" spans="1:4" x14ac:dyDescent="0.4">
      <c r="A68" s="151">
        <v>67</v>
      </c>
      <c r="B68" s="151" t="s">
        <v>720</v>
      </c>
      <c r="C68" s="419"/>
      <c r="D68" s="139" t="s">
        <v>496</v>
      </c>
    </row>
    <row r="69" spans="1:4" x14ac:dyDescent="0.4">
      <c r="A69" s="201">
        <v>68</v>
      </c>
      <c r="B69" s="201" t="s">
        <v>721</v>
      </c>
      <c r="C69" s="419"/>
      <c r="D69" s="139" t="s">
        <v>497</v>
      </c>
    </row>
    <row r="70" spans="1:4" ht="15" thickBot="1" x14ac:dyDescent="0.45">
      <c r="A70" s="152">
        <v>69</v>
      </c>
      <c r="B70" s="152" t="s">
        <v>607</v>
      </c>
      <c r="C70" s="420"/>
      <c r="D70" s="143" t="s">
        <v>405</v>
      </c>
    </row>
    <row r="71" spans="1:4" x14ac:dyDescent="0.4">
      <c r="A71" s="154">
        <v>70</v>
      </c>
      <c r="B71" s="154" t="s">
        <v>608</v>
      </c>
      <c r="C71" s="418" t="s">
        <v>406</v>
      </c>
      <c r="D71" s="146" t="s">
        <v>939</v>
      </c>
    </row>
    <row r="72" spans="1:4" x14ac:dyDescent="0.4">
      <c r="A72" s="155">
        <v>71</v>
      </c>
      <c r="B72" s="155" t="s">
        <v>609</v>
      </c>
      <c r="C72" s="419"/>
      <c r="D72" s="139" t="s">
        <v>10</v>
      </c>
    </row>
    <row r="73" spans="1:4" x14ac:dyDescent="0.4">
      <c r="A73" s="155">
        <v>72</v>
      </c>
      <c r="B73" s="155" t="s">
        <v>610</v>
      </c>
      <c r="C73" s="419"/>
      <c r="D73" s="139" t="s">
        <v>10</v>
      </c>
    </row>
    <row r="74" spans="1:4" x14ac:dyDescent="0.4">
      <c r="A74" s="155">
        <v>73</v>
      </c>
      <c r="B74" s="155" t="s">
        <v>611</v>
      </c>
      <c r="C74" s="419"/>
      <c r="D74" s="139" t="s">
        <v>10</v>
      </c>
    </row>
    <row r="75" spans="1:4" x14ac:dyDescent="0.4">
      <c r="A75" s="155">
        <v>74</v>
      </c>
      <c r="B75" s="155" t="s">
        <v>612</v>
      </c>
      <c r="C75" s="419"/>
      <c r="D75" s="139" t="s">
        <v>10</v>
      </c>
    </row>
    <row r="76" spans="1:4" x14ac:dyDescent="0.4">
      <c r="A76" s="155">
        <v>75</v>
      </c>
      <c r="B76" s="155" t="s">
        <v>613</v>
      </c>
      <c r="C76" s="419"/>
      <c r="D76" s="139" t="s">
        <v>407</v>
      </c>
    </row>
    <row r="77" spans="1:4" x14ac:dyDescent="0.4">
      <c r="A77" s="155">
        <v>76</v>
      </c>
      <c r="B77" s="155" t="s">
        <v>614</v>
      </c>
      <c r="C77" s="419"/>
      <c r="D77" s="139" t="s">
        <v>10</v>
      </c>
    </row>
    <row r="78" spans="1:4" x14ac:dyDescent="0.4">
      <c r="A78" s="155">
        <v>77</v>
      </c>
      <c r="B78" s="155" t="s">
        <v>615</v>
      </c>
      <c r="C78" s="419"/>
      <c r="D78" s="139" t="s">
        <v>10</v>
      </c>
    </row>
    <row r="79" spans="1:4" x14ac:dyDescent="0.4">
      <c r="A79" s="155">
        <v>78</v>
      </c>
      <c r="B79" s="155" t="s">
        <v>616</v>
      </c>
      <c r="C79" s="419"/>
      <c r="D79" s="139" t="s">
        <v>10</v>
      </c>
    </row>
    <row r="80" spans="1:4" x14ac:dyDescent="0.4">
      <c r="A80" s="155">
        <v>79</v>
      </c>
      <c r="B80" s="155" t="s">
        <v>617</v>
      </c>
      <c r="C80" s="419"/>
      <c r="D80" s="139" t="s">
        <v>10</v>
      </c>
    </row>
    <row r="81" spans="1:4" x14ac:dyDescent="0.4">
      <c r="A81" s="155">
        <v>80</v>
      </c>
      <c r="B81" s="155" t="s">
        <v>618</v>
      </c>
      <c r="C81" s="419"/>
      <c r="D81" s="139" t="s">
        <v>10</v>
      </c>
    </row>
    <row r="82" spans="1:4" x14ac:dyDescent="0.4">
      <c r="A82" s="155">
        <v>81</v>
      </c>
      <c r="B82" s="155" t="s">
        <v>619</v>
      </c>
      <c r="C82" s="419"/>
      <c r="D82" s="139" t="s">
        <v>407</v>
      </c>
    </row>
    <row r="83" spans="1:4" x14ac:dyDescent="0.4">
      <c r="A83" s="155">
        <v>82</v>
      </c>
      <c r="B83" s="155" t="s">
        <v>620</v>
      </c>
      <c r="C83" s="419"/>
      <c r="D83" s="139" t="s">
        <v>10</v>
      </c>
    </row>
    <row r="84" spans="1:4" x14ac:dyDescent="0.4">
      <c r="A84" s="155">
        <v>83</v>
      </c>
      <c r="B84" s="155" t="s">
        <v>621</v>
      </c>
      <c r="C84" s="419"/>
      <c r="D84" s="139" t="s">
        <v>10</v>
      </c>
    </row>
    <row r="85" spans="1:4" x14ac:dyDescent="0.4">
      <c r="A85" s="156">
        <v>84</v>
      </c>
      <c r="B85" s="156" t="s">
        <v>622</v>
      </c>
      <c r="C85" s="419"/>
      <c r="D85" s="139" t="s">
        <v>10</v>
      </c>
    </row>
    <row r="86" spans="1:4" x14ac:dyDescent="0.4">
      <c r="A86" s="156">
        <v>85</v>
      </c>
      <c r="B86" s="156" t="s">
        <v>623</v>
      </c>
      <c r="C86" s="419"/>
      <c r="D86" s="139" t="s">
        <v>10</v>
      </c>
    </row>
    <row r="87" spans="1:4" x14ac:dyDescent="0.4">
      <c r="A87" s="156">
        <v>86</v>
      </c>
      <c r="B87" s="156" t="s">
        <v>624</v>
      </c>
      <c r="C87" s="419"/>
      <c r="D87" s="139" t="s">
        <v>10</v>
      </c>
    </row>
    <row r="88" spans="1:4" x14ac:dyDescent="0.4">
      <c r="A88" s="156">
        <v>87</v>
      </c>
      <c r="B88" s="156" t="s">
        <v>625</v>
      </c>
      <c r="C88" s="419"/>
      <c r="D88" s="139" t="s">
        <v>407</v>
      </c>
    </row>
    <row r="89" spans="1:4" x14ac:dyDescent="0.4">
      <c r="A89" s="156">
        <v>88</v>
      </c>
      <c r="B89" s="156" t="s">
        <v>626</v>
      </c>
      <c r="C89" s="419"/>
      <c r="D89" s="139" t="s">
        <v>938</v>
      </c>
    </row>
    <row r="90" spans="1:4" x14ac:dyDescent="0.4">
      <c r="A90" s="157">
        <v>89</v>
      </c>
      <c r="B90" s="157" t="s">
        <v>627</v>
      </c>
      <c r="C90" s="419"/>
      <c r="D90" s="139" t="s">
        <v>409</v>
      </c>
    </row>
    <row r="91" spans="1:4" x14ac:dyDescent="0.4">
      <c r="A91" s="157">
        <v>90</v>
      </c>
      <c r="B91" s="157" t="s">
        <v>628</v>
      </c>
      <c r="C91" s="419"/>
      <c r="D91" s="139" t="s">
        <v>410</v>
      </c>
    </row>
    <row r="92" spans="1:4" x14ac:dyDescent="0.4">
      <c r="A92" s="157">
        <v>91</v>
      </c>
      <c r="B92" s="157" t="s">
        <v>629</v>
      </c>
      <c r="C92" s="419"/>
      <c r="D92" s="139" t="s">
        <v>411</v>
      </c>
    </row>
    <row r="93" spans="1:4" x14ac:dyDescent="0.4">
      <c r="A93" s="157">
        <v>92</v>
      </c>
      <c r="B93" s="157" t="s">
        <v>630</v>
      </c>
      <c r="C93" s="419"/>
      <c r="D93" s="139" t="s">
        <v>412</v>
      </c>
    </row>
    <row r="94" spans="1:4" ht="15" thickBot="1" x14ac:dyDescent="0.45">
      <c r="A94" s="159">
        <v>93</v>
      </c>
      <c r="B94" s="159" t="s">
        <v>631</v>
      </c>
      <c r="C94" s="420"/>
      <c r="D94" s="143" t="s">
        <v>413</v>
      </c>
    </row>
    <row r="95" spans="1:4" x14ac:dyDescent="0.4">
      <c r="A95" s="160">
        <v>94</v>
      </c>
      <c r="B95" s="160" t="s">
        <v>634</v>
      </c>
      <c r="C95" s="418" t="s">
        <v>414</v>
      </c>
      <c r="D95" s="139" t="s">
        <v>415</v>
      </c>
    </row>
    <row r="96" spans="1:4" ht="15" customHeight="1" x14ac:dyDescent="0.4">
      <c r="A96" s="160">
        <v>95</v>
      </c>
      <c r="B96" s="160" t="s">
        <v>635</v>
      </c>
      <c r="C96" s="419"/>
      <c r="D96" s="237" t="s">
        <v>416</v>
      </c>
    </row>
    <row r="97" spans="1:4" ht="43.75" x14ac:dyDescent="0.4">
      <c r="A97" s="160">
        <v>96</v>
      </c>
      <c r="B97" s="160" t="s">
        <v>636</v>
      </c>
      <c r="C97" s="419"/>
      <c r="D97" s="161" t="s">
        <v>417</v>
      </c>
    </row>
    <row r="98" spans="1:4" ht="29.6" thickBot="1" x14ac:dyDescent="0.45">
      <c r="A98" s="162">
        <v>97</v>
      </c>
      <c r="B98" s="162" t="s">
        <v>637</v>
      </c>
      <c r="C98" s="420"/>
      <c r="D98" s="143" t="s">
        <v>418</v>
      </c>
    </row>
    <row r="99" spans="1:4" ht="29.15" x14ac:dyDescent="0.4">
      <c r="A99" s="145">
        <v>98</v>
      </c>
      <c r="B99" s="145" t="s">
        <v>638</v>
      </c>
      <c r="C99" s="418" t="s">
        <v>419</v>
      </c>
      <c r="D99" s="146" t="s">
        <v>420</v>
      </c>
    </row>
    <row r="100" spans="1:4" ht="29.15" x14ac:dyDescent="0.4">
      <c r="A100" s="147">
        <v>99</v>
      </c>
      <c r="B100" s="147" t="s">
        <v>639</v>
      </c>
      <c r="C100" s="419"/>
      <c r="D100" s="139" t="s">
        <v>421</v>
      </c>
    </row>
    <row r="101" spans="1:4" x14ac:dyDescent="0.4">
      <c r="A101" s="147">
        <v>100</v>
      </c>
      <c r="B101" s="147" t="s">
        <v>640</v>
      </c>
      <c r="C101" s="419"/>
      <c r="D101" s="139" t="s">
        <v>422</v>
      </c>
    </row>
    <row r="102" spans="1:4" x14ac:dyDescent="0.4">
      <c r="A102" s="147">
        <v>101</v>
      </c>
      <c r="B102" s="147" t="s">
        <v>641</v>
      </c>
      <c r="C102" s="419"/>
      <c r="D102" s="139" t="s">
        <v>423</v>
      </c>
    </row>
    <row r="103" spans="1:4" x14ac:dyDescent="0.4">
      <c r="A103" s="147">
        <v>102</v>
      </c>
      <c r="B103" s="147" t="s">
        <v>642</v>
      </c>
      <c r="C103" s="419"/>
      <c r="D103" s="139" t="s">
        <v>424</v>
      </c>
    </row>
    <row r="104" spans="1:4" ht="29.15" x14ac:dyDescent="0.4">
      <c r="A104" s="147">
        <v>103</v>
      </c>
      <c r="B104" s="147" t="s">
        <v>643</v>
      </c>
      <c r="C104" s="419"/>
      <c r="D104" s="139" t="s">
        <v>480</v>
      </c>
    </row>
    <row r="105" spans="1:4" x14ac:dyDescent="0.4">
      <c r="A105" s="147">
        <v>104</v>
      </c>
      <c r="B105" s="147" t="s">
        <v>644</v>
      </c>
      <c r="C105" s="419"/>
      <c r="D105" s="139" t="s">
        <v>498</v>
      </c>
    </row>
    <row r="106" spans="1:4" x14ac:dyDescent="0.4">
      <c r="A106" s="147">
        <v>105</v>
      </c>
      <c r="B106" s="147" t="s">
        <v>645</v>
      </c>
      <c r="C106" s="419"/>
      <c r="D106" s="139" t="s">
        <v>499</v>
      </c>
    </row>
    <row r="107" spans="1:4" x14ac:dyDescent="0.4">
      <c r="A107" s="147">
        <v>106</v>
      </c>
      <c r="B107" s="147" t="s">
        <v>646</v>
      </c>
      <c r="C107" s="419"/>
      <c r="D107" s="139" t="s">
        <v>500</v>
      </c>
    </row>
    <row r="108" spans="1:4" ht="29.6" thickBot="1" x14ac:dyDescent="0.45">
      <c r="A108" s="147">
        <v>107</v>
      </c>
      <c r="B108" s="147" t="s">
        <v>647</v>
      </c>
      <c r="C108" s="420"/>
      <c r="D108" s="139" t="s">
        <v>501</v>
      </c>
    </row>
    <row r="109" spans="1:4" ht="29.15" x14ac:dyDescent="0.4">
      <c r="A109" s="164">
        <v>108</v>
      </c>
      <c r="B109" s="164" t="s">
        <v>648</v>
      </c>
      <c r="C109" s="418" t="s">
        <v>425</v>
      </c>
      <c r="D109" s="146" t="s">
        <v>538</v>
      </c>
    </row>
    <row r="110" spans="1:4" ht="29.15" x14ac:dyDescent="0.4">
      <c r="A110" s="165">
        <v>109</v>
      </c>
      <c r="B110" s="165" t="s">
        <v>719</v>
      </c>
      <c r="C110" s="419"/>
      <c r="D110" s="139" t="s">
        <v>539</v>
      </c>
    </row>
    <row r="111" spans="1:4" x14ac:dyDescent="0.4">
      <c r="A111" s="165">
        <v>110</v>
      </c>
      <c r="B111" s="165" t="s">
        <v>649</v>
      </c>
      <c r="C111" s="419"/>
      <c r="D111" s="139" t="s">
        <v>426</v>
      </c>
    </row>
    <row r="112" spans="1:4" x14ac:dyDescent="0.4">
      <c r="A112" s="165">
        <v>111</v>
      </c>
      <c r="B112" s="165" t="s">
        <v>650</v>
      </c>
      <c r="C112" s="419"/>
      <c r="D112" s="139" t="s">
        <v>427</v>
      </c>
    </row>
    <row r="113" spans="1:4" x14ac:dyDescent="0.4">
      <c r="A113" s="165">
        <v>112</v>
      </c>
      <c r="B113" s="165" t="s">
        <v>651</v>
      </c>
      <c r="C113" s="419"/>
      <c r="D113" s="139" t="s">
        <v>427</v>
      </c>
    </row>
    <row r="114" spans="1:4" x14ac:dyDescent="0.4">
      <c r="A114" s="165">
        <v>113</v>
      </c>
      <c r="B114" s="165" t="s">
        <v>652</v>
      </c>
      <c r="C114" s="419"/>
      <c r="D114" s="139" t="s">
        <v>428</v>
      </c>
    </row>
    <row r="115" spans="1:4" ht="15" thickBot="1" x14ac:dyDescent="0.45">
      <c r="A115" s="167">
        <v>114</v>
      </c>
      <c r="B115" s="167" t="s">
        <v>653</v>
      </c>
      <c r="C115" s="420"/>
      <c r="D115" s="143" t="s">
        <v>428</v>
      </c>
    </row>
    <row r="116" spans="1:4" ht="29.15" x14ac:dyDescent="0.4">
      <c r="A116" s="168">
        <v>115</v>
      </c>
      <c r="B116" s="168" t="s">
        <v>654</v>
      </c>
      <c r="C116" s="418" t="s">
        <v>429</v>
      </c>
      <c r="D116" s="146" t="s">
        <v>430</v>
      </c>
    </row>
    <row r="117" spans="1:4" x14ac:dyDescent="0.4">
      <c r="A117" s="169">
        <v>116</v>
      </c>
      <c r="B117" s="169" t="s">
        <v>655</v>
      </c>
      <c r="C117" s="419"/>
      <c r="D117" s="139" t="s">
        <v>10</v>
      </c>
    </row>
    <row r="118" spans="1:4" x14ac:dyDescent="0.4">
      <c r="A118" s="169">
        <v>117</v>
      </c>
      <c r="B118" s="169" t="s">
        <v>656</v>
      </c>
      <c r="C118" s="419"/>
      <c r="D118" s="139" t="s">
        <v>10</v>
      </c>
    </row>
    <row r="119" spans="1:4" x14ac:dyDescent="0.4">
      <c r="A119" s="169">
        <v>118</v>
      </c>
      <c r="B119" s="169" t="s">
        <v>657</v>
      </c>
      <c r="C119" s="419"/>
      <c r="D119" s="139" t="s">
        <v>10</v>
      </c>
    </row>
    <row r="120" spans="1:4" x14ac:dyDescent="0.4">
      <c r="A120" s="169">
        <v>119</v>
      </c>
      <c r="B120" s="169" t="s">
        <v>658</v>
      </c>
      <c r="C120" s="419"/>
      <c r="D120" s="139" t="s">
        <v>10</v>
      </c>
    </row>
    <row r="121" spans="1:4" x14ac:dyDescent="0.4">
      <c r="A121" s="169">
        <v>120</v>
      </c>
      <c r="B121" s="169" t="s">
        <v>659</v>
      </c>
      <c r="C121" s="419"/>
      <c r="D121" s="139" t="s">
        <v>407</v>
      </c>
    </row>
    <row r="122" spans="1:4" x14ac:dyDescent="0.4">
      <c r="A122" s="169">
        <v>121</v>
      </c>
      <c r="B122" s="169" t="s">
        <v>660</v>
      </c>
      <c r="C122" s="419"/>
      <c r="D122" s="139" t="s">
        <v>10</v>
      </c>
    </row>
    <row r="123" spans="1:4" x14ac:dyDescent="0.4">
      <c r="A123" s="169">
        <v>122</v>
      </c>
      <c r="B123" s="169" t="s">
        <v>661</v>
      </c>
      <c r="C123" s="419"/>
      <c r="D123" s="139" t="s">
        <v>10</v>
      </c>
    </row>
    <row r="124" spans="1:4" x14ac:dyDescent="0.4">
      <c r="A124" s="169">
        <v>123</v>
      </c>
      <c r="B124" s="169" t="s">
        <v>662</v>
      </c>
      <c r="C124" s="419"/>
      <c r="D124" s="139" t="s">
        <v>10</v>
      </c>
    </row>
    <row r="125" spans="1:4" x14ac:dyDescent="0.4">
      <c r="A125" s="169">
        <v>124</v>
      </c>
      <c r="B125" s="169" t="s">
        <v>663</v>
      </c>
      <c r="C125" s="419"/>
      <c r="D125" s="139" t="s">
        <v>10</v>
      </c>
    </row>
    <row r="126" spans="1:4" x14ac:dyDescent="0.4">
      <c r="A126" s="169">
        <v>125</v>
      </c>
      <c r="B126" s="169" t="s">
        <v>664</v>
      </c>
      <c r="C126" s="419"/>
      <c r="D126" s="139" t="s">
        <v>10</v>
      </c>
    </row>
    <row r="127" spans="1:4" x14ac:dyDescent="0.4">
      <c r="A127" s="169">
        <v>126</v>
      </c>
      <c r="B127" s="169" t="s">
        <v>665</v>
      </c>
      <c r="C127" s="419"/>
      <c r="D127" s="139" t="s">
        <v>10</v>
      </c>
    </row>
    <row r="128" spans="1:4" x14ac:dyDescent="0.4">
      <c r="A128" s="169">
        <v>127</v>
      </c>
      <c r="B128" s="169" t="s">
        <v>666</v>
      </c>
      <c r="C128" s="419"/>
      <c r="D128" s="139" t="s">
        <v>10</v>
      </c>
    </row>
    <row r="129" spans="1:4" x14ac:dyDescent="0.4">
      <c r="A129" s="169">
        <v>128</v>
      </c>
      <c r="B129" s="169" t="s">
        <v>667</v>
      </c>
      <c r="C129" s="419"/>
      <c r="D129" s="139" t="s">
        <v>10</v>
      </c>
    </row>
    <row r="130" spans="1:4" x14ac:dyDescent="0.4">
      <c r="A130" s="169">
        <v>129</v>
      </c>
      <c r="B130" s="169" t="s">
        <v>668</v>
      </c>
      <c r="C130" s="419"/>
      <c r="D130" s="139" t="s">
        <v>431</v>
      </c>
    </row>
    <row r="131" spans="1:4" x14ac:dyDescent="0.4">
      <c r="A131" s="169">
        <v>130</v>
      </c>
      <c r="B131" s="169" t="s">
        <v>669</v>
      </c>
      <c r="C131" s="419"/>
      <c r="D131" s="139" t="s">
        <v>432</v>
      </c>
    </row>
    <row r="132" spans="1:4" x14ac:dyDescent="0.4">
      <c r="A132" s="169">
        <v>131</v>
      </c>
      <c r="B132" s="169" t="s">
        <v>670</v>
      </c>
      <c r="C132" s="419"/>
      <c r="D132" s="139" t="s">
        <v>433</v>
      </c>
    </row>
    <row r="133" spans="1:4" x14ac:dyDescent="0.4">
      <c r="A133" s="169">
        <v>132</v>
      </c>
      <c r="B133" s="169" t="s">
        <v>671</v>
      </c>
      <c r="C133" s="419"/>
      <c r="D133" s="139" t="s">
        <v>434</v>
      </c>
    </row>
    <row r="134" spans="1:4" x14ac:dyDescent="0.4">
      <c r="A134" s="169">
        <v>133</v>
      </c>
      <c r="B134" s="169" t="s">
        <v>672</v>
      </c>
      <c r="C134" s="419"/>
      <c r="D134" s="139" t="s">
        <v>435</v>
      </c>
    </row>
    <row r="135" spans="1:4" x14ac:dyDescent="0.4">
      <c r="A135" s="169">
        <v>134</v>
      </c>
      <c r="B135" s="169" t="s">
        <v>673</v>
      </c>
      <c r="C135" s="419"/>
      <c r="D135" s="139" t="s">
        <v>436</v>
      </c>
    </row>
    <row r="136" spans="1:4" x14ac:dyDescent="0.4">
      <c r="A136" s="169">
        <v>135</v>
      </c>
      <c r="B136" s="169" t="s">
        <v>674</v>
      </c>
      <c r="C136" s="419"/>
      <c r="D136" s="139" t="s">
        <v>437</v>
      </c>
    </row>
    <row r="137" spans="1:4" x14ac:dyDescent="0.4">
      <c r="A137" s="169">
        <v>136</v>
      </c>
      <c r="B137" s="169" t="s">
        <v>675</v>
      </c>
      <c r="C137" s="419"/>
      <c r="D137" s="139" t="s">
        <v>438</v>
      </c>
    </row>
    <row r="138" spans="1:4" x14ac:dyDescent="0.4">
      <c r="A138" s="169">
        <v>137</v>
      </c>
      <c r="B138" s="169" t="s">
        <v>676</v>
      </c>
      <c r="C138" s="419"/>
      <c r="D138" s="139" t="s">
        <v>438</v>
      </c>
    </row>
    <row r="139" spans="1:4" ht="87.45" x14ac:dyDescent="0.4">
      <c r="A139" s="169">
        <v>138</v>
      </c>
      <c r="B139" s="169" t="s">
        <v>731</v>
      </c>
      <c r="C139" s="419"/>
      <c r="D139" s="139" t="s">
        <v>484</v>
      </c>
    </row>
    <row r="140" spans="1:4" x14ac:dyDescent="0.4">
      <c r="A140" s="169">
        <v>139</v>
      </c>
      <c r="B140" s="169" t="s">
        <v>732</v>
      </c>
      <c r="C140" s="419"/>
      <c r="D140" s="139" t="s">
        <v>439</v>
      </c>
    </row>
    <row r="141" spans="1:4" ht="87.45" x14ac:dyDescent="0.4">
      <c r="A141" s="169">
        <v>140</v>
      </c>
      <c r="B141" s="169" t="s">
        <v>677</v>
      </c>
      <c r="C141" s="419"/>
      <c r="D141" s="139" t="s">
        <v>485</v>
      </c>
    </row>
    <row r="142" spans="1:4" ht="29.15" x14ac:dyDescent="0.4">
      <c r="A142" s="169">
        <v>141</v>
      </c>
      <c r="B142" s="169" t="s">
        <v>678</v>
      </c>
      <c r="C142" s="419"/>
      <c r="D142" s="139" t="s">
        <v>482</v>
      </c>
    </row>
    <row r="143" spans="1:4" ht="29.15" x14ac:dyDescent="0.4">
      <c r="A143" s="169">
        <v>142</v>
      </c>
      <c r="B143" s="169" t="s">
        <v>717</v>
      </c>
      <c r="C143" s="419"/>
      <c r="D143" s="139" t="s">
        <v>440</v>
      </c>
    </row>
    <row r="144" spans="1:4" ht="29.15" x14ac:dyDescent="0.4">
      <c r="A144" s="169">
        <v>143</v>
      </c>
      <c r="B144" s="169" t="s">
        <v>718</v>
      </c>
      <c r="C144" s="419"/>
      <c r="D144" s="139" t="s">
        <v>441</v>
      </c>
    </row>
    <row r="145" spans="1:4" x14ac:dyDescent="0.4">
      <c r="A145" s="169">
        <v>144</v>
      </c>
      <c r="B145" s="169" t="s">
        <v>679</v>
      </c>
      <c r="C145" s="419"/>
      <c r="D145" s="139" t="s">
        <v>442</v>
      </c>
    </row>
    <row r="146" spans="1:4" x14ac:dyDescent="0.4">
      <c r="A146" s="169">
        <v>145</v>
      </c>
      <c r="B146" s="169" t="s">
        <v>680</v>
      </c>
      <c r="C146" s="419"/>
      <c r="D146" s="139" t="s">
        <v>443</v>
      </c>
    </row>
    <row r="147" spans="1:4" x14ac:dyDescent="0.4">
      <c r="A147" s="169">
        <v>146</v>
      </c>
      <c r="B147" s="169" t="s">
        <v>681</v>
      </c>
      <c r="C147" s="419"/>
      <c r="D147" s="139" t="s">
        <v>444</v>
      </c>
    </row>
    <row r="148" spans="1:4" x14ac:dyDescent="0.4">
      <c r="A148" s="169">
        <v>147</v>
      </c>
      <c r="B148" s="169" t="s">
        <v>682</v>
      </c>
      <c r="C148" s="419"/>
      <c r="D148" s="139" t="s">
        <v>445</v>
      </c>
    </row>
    <row r="149" spans="1:4" x14ac:dyDescent="0.4">
      <c r="A149" s="169">
        <v>148</v>
      </c>
      <c r="B149" s="169" t="s">
        <v>683</v>
      </c>
      <c r="C149" s="419"/>
      <c r="D149" s="139" t="s">
        <v>446</v>
      </c>
    </row>
    <row r="150" spans="1:4" x14ac:dyDescent="0.4">
      <c r="A150" s="169">
        <v>149</v>
      </c>
      <c r="B150" s="169" t="s">
        <v>684</v>
      </c>
      <c r="C150" s="419"/>
      <c r="D150" s="139" t="s">
        <v>447</v>
      </c>
    </row>
    <row r="151" spans="1:4" x14ac:dyDescent="0.4">
      <c r="A151" s="169">
        <v>150</v>
      </c>
      <c r="B151" s="169" t="s">
        <v>685</v>
      </c>
      <c r="C151" s="419"/>
      <c r="D151" s="139" t="s">
        <v>502</v>
      </c>
    </row>
    <row r="152" spans="1:4" x14ac:dyDescent="0.4">
      <c r="A152" s="169">
        <v>151</v>
      </c>
      <c r="B152" s="169" t="s">
        <v>686</v>
      </c>
      <c r="C152" s="419"/>
      <c r="D152" s="139" t="s">
        <v>10</v>
      </c>
    </row>
    <row r="153" spans="1:4" x14ac:dyDescent="0.4">
      <c r="A153" s="169">
        <v>152</v>
      </c>
      <c r="B153" s="169" t="s">
        <v>687</v>
      </c>
      <c r="C153" s="419"/>
      <c r="D153" s="139" t="s">
        <v>10</v>
      </c>
    </row>
    <row r="154" spans="1:4" x14ac:dyDescent="0.4">
      <c r="A154" s="169">
        <v>153</v>
      </c>
      <c r="B154" s="169" t="s">
        <v>688</v>
      </c>
      <c r="C154" s="419"/>
      <c r="D154" s="139" t="s">
        <v>10</v>
      </c>
    </row>
    <row r="155" spans="1:4" x14ac:dyDescent="0.4">
      <c r="A155" s="169">
        <v>154</v>
      </c>
      <c r="B155" s="169" t="s">
        <v>689</v>
      </c>
      <c r="C155" s="419"/>
      <c r="D155" s="139" t="s">
        <v>10</v>
      </c>
    </row>
    <row r="156" spans="1:4" x14ac:dyDescent="0.4">
      <c r="A156" s="169">
        <v>155</v>
      </c>
      <c r="B156" s="169" t="s">
        <v>690</v>
      </c>
      <c r="C156" s="419"/>
      <c r="D156" s="139" t="s">
        <v>10</v>
      </c>
    </row>
    <row r="157" spans="1:4" x14ac:dyDescent="0.4">
      <c r="A157" s="169">
        <v>156</v>
      </c>
      <c r="B157" s="169" t="s">
        <v>691</v>
      </c>
      <c r="C157" s="419"/>
      <c r="D157" s="139" t="s">
        <v>10</v>
      </c>
    </row>
    <row r="158" spans="1:4" x14ac:dyDescent="0.4">
      <c r="A158" s="169">
        <v>157</v>
      </c>
      <c r="B158" s="169" t="s">
        <v>692</v>
      </c>
      <c r="C158" s="419"/>
      <c r="D158" s="139" t="s">
        <v>10</v>
      </c>
    </row>
    <row r="159" spans="1:4" ht="29.15" x14ac:dyDescent="0.4">
      <c r="A159" s="169">
        <v>158</v>
      </c>
      <c r="B159" s="169" t="s">
        <v>693</v>
      </c>
      <c r="C159" s="419"/>
      <c r="D159" s="139" t="s">
        <v>503</v>
      </c>
    </row>
    <row r="160" spans="1:4" ht="29.15" x14ac:dyDescent="0.4">
      <c r="A160" s="169">
        <v>159</v>
      </c>
      <c r="B160" s="169" t="s">
        <v>694</v>
      </c>
      <c r="C160" s="419"/>
      <c r="D160" s="139" t="s">
        <v>504</v>
      </c>
    </row>
    <row r="161" spans="1:4" ht="29.15" x14ac:dyDescent="0.4">
      <c r="A161" s="169">
        <v>160</v>
      </c>
      <c r="B161" s="169" t="s">
        <v>695</v>
      </c>
      <c r="C161" s="419"/>
      <c r="D161" s="139" t="s">
        <v>505</v>
      </c>
    </row>
    <row r="162" spans="1:4" ht="15" thickBot="1" x14ac:dyDescent="0.45">
      <c r="A162" s="170">
        <v>161</v>
      </c>
      <c r="B162" s="170" t="s">
        <v>696</v>
      </c>
      <c r="C162" s="420"/>
      <c r="D162" s="204" t="s">
        <v>10</v>
      </c>
    </row>
    <row r="163" spans="1:4" ht="30" customHeight="1" x14ac:dyDescent="0.4">
      <c r="A163" s="171">
        <v>162</v>
      </c>
      <c r="B163" s="171" t="s">
        <v>697</v>
      </c>
      <c r="C163" s="418" t="s">
        <v>448</v>
      </c>
      <c r="D163" s="139" t="s">
        <v>449</v>
      </c>
    </row>
    <row r="164" spans="1:4" ht="29.15" x14ac:dyDescent="0.4">
      <c r="A164" s="171">
        <v>163</v>
      </c>
      <c r="B164" s="171" t="s">
        <v>698</v>
      </c>
      <c r="C164" s="419"/>
      <c r="D164" s="139" t="s">
        <v>450</v>
      </c>
    </row>
    <row r="165" spans="1:4" x14ac:dyDescent="0.4">
      <c r="A165" s="171">
        <v>164</v>
      </c>
      <c r="B165" s="171" t="s">
        <v>699</v>
      </c>
      <c r="C165" s="419"/>
      <c r="D165" s="139" t="s">
        <v>10</v>
      </c>
    </row>
    <row r="166" spans="1:4" x14ac:dyDescent="0.4">
      <c r="A166" s="171">
        <v>165</v>
      </c>
      <c r="B166" s="171" t="s">
        <v>700</v>
      </c>
      <c r="C166" s="419"/>
      <c r="D166" s="139" t="s">
        <v>10</v>
      </c>
    </row>
    <row r="167" spans="1:4" ht="29.15" x14ac:dyDescent="0.4">
      <c r="A167" s="171">
        <v>166</v>
      </c>
      <c r="B167" s="171" t="s">
        <v>701</v>
      </c>
      <c r="C167" s="419"/>
      <c r="D167" s="139" t="s">
        <v>451</v>
      </c>
    </row>
    <row r="168" spans="1:4" ht="29.15" x14ac:dyDescent="0.4">
      <c r="A168" s="171">
        <v>167</v>
      </c>
      <c r="B168" s="171" t="s">
        <v>702</v>
      </c>
      <c r="C168" s="419"/>
      <c r="D168" s="139" t="s">
        <v>452</v>
      </c>
    </row>
    <row r="169" spans="1:4" x14ac:dyDescent="0.4">
      <c r="A169" s="171">
        <v>168</v>
      </c>
      <c r="B169" s="171" t="s">
        <v>703</v>
      </c>
      <c r="C169" s="419"/>
      <c r="D169" s="139" t="s">
        <v>453</v>
      </c>
    </row>
    <row r="170" spans="1:4" x14ac:dyDescent="0.4">
      <c r="A170" s="171">
        <v>169</v>
      </c>
      <c r="B170" s="171" t="s">
        <v>704</v>
      </c>
      <c r="C170" s="419"/>
      <c r="D170" s="139" t="s">
        <v>10</v>
      </c>
    </row>
    <row r="171" spans="1:4" x14ac:dyDescent="0.4">
      <c r="A171" s="171">
        <v>170</v>
      </c>
      <c r="B171" s="171" t="s">
        <v>705</v>
      </c>
      <c r="C171" s="419"/>
      <c r="D171" s="139" t="s">
        <v>10</v>
      </c>
    </row>
    <row r="172" spans="1:4" x14ac:dyDescent="0.4">
      <c r="A172" s="171">
        <v>171</v>
      </c>
      <c r="B172" s="171" t="s">
        <v>706</v>
      </c>
      <c r="C172" s="419"/>
      <c r="D172" s="139" t="s">
        <v>10</v>
      </c>
    </row>
    <row r="173" spans="1:4" x14ac:dyDescent="0.4">
      <c r="A173" s="171">
        <v>172</v>
      </c>
      <c r="B173" s="171" t="s">
        <v>707</v>
      </c>
      <c r="C173" s="419"/>
      <c r="D173" s="139" t="s">
        <v>454</v>
      </c>
    </row>
    <row r="174" spans="1:4" x14ac:dyDescent="0.4">
      <c r="A174" s="171">
        <v>173</v>
      </c>
      <c r="B174" s="171" t="s">
        <v>708</v>
      </c>
      <c r="C174" s="419"/>
      <c r="D174" s="139" t="s">
        <v>455</v>
      </c>
    </row>
    <row r="175" spans="1:4" x14ac:dyDescent="0.4">
      <c r="A175" s="171">
        <v>174</v>
      </c>
      <c r="B175" s="171" t="s">
        <v>709</v>
      </c>
      <c r="C175" s="419"/>
      <c r="D175" s="139" t="s">
        <v>456</v>
      </c>
    </row>
    <row r="176" spans="1:4" ht="15" thickBot="1" x14ac:dyDescent="0.45">
      <c r="A176" s="172">
        <v>175</v>
      </c>
      <c r="B176" s="172" t="s">
        <v>723</v>
      </c>
      <c r="C176" s="420"/>
      <c r="D176" s="143" t="s">
        <v>457</v>
      </c>
    </row>
    <row r="177" spans="1:4" ht="15" thickBot="1" x14ac:dyDescent="0.45">
      <c r="A177" s="173">
        <v>176</v>
      </c>
      <c r="B177" s="173" t="s">
        <v>710</v>
      </c>
      <c r="C177" s="174" t="s">
        <v>458</v>
      </c>
      <c r="D177" s="190" t="s">
        <v>459</v>
      </c>
    </row>
    <row r="178" spans="1:4" ht="29.15" x14ac:dyDescent="0.4">
      <c r="A178" s="387">
        <v>177</v>
      </c>
      <c r="B178" s="194" t="s">
        <v>924</v>
      </c>
      <c r="C178" s="418" t="s">
        <v>922</v>
      </c>
      <c r="D178" s="146" t="s">
        <v>936</v>
      </c>
    </row>
    <row r="179" spans="1:4" ht="29.6" thickBot="1" x14ac:dyDescent="0.45">
      <c r="A179" s="388">
        <v>178</v>
      </c>
      <c r="B179" s="150" t="s">
        <v>925</v>
      </c>
      <c r="C179" s="420"/>
      <c r="D179" s="143" t="s">
        <v>937</v>
      </c>
    </row>
    <row r="180" spans="1:4" x14ac:dyDescent="0.4">
      <c r="A180" s="390">
        <v>179</v>
      </c>
      <c r="B180" s="393" t="s">
        <v>930</v>
      </c>
      <c r="C180" s="418" t="s">
        <v>929</v>
      </c>
      <c r="D180" s="146" t="s">
        <v>933</v>
      </c>
    </row>
    <row r="181" spans="1:4" x14ac:dyDescent="0.4">
      <c r="A181" s="391">
        <v>180</v>
      </c>
      <c r="B181" s="134" t="s">
        <v>931</v>
      </c>
      <c r="C181" s="419"/>
      <c r="D181" s="270" t="s">
        <v>934</v>
      </c>
    </row>
    <row r="182" spans="1:4" ht="15" thickBot="1" x14ac:dyDescent="0.45">
      <c r="A182" s="392">
        <v>181</v>
      </c>
      <c r="B182" s="394" t="s">
        <v>932</v>
      </c>
      <c r="C182" s="420"/>
      <c r="D182" s="143" t="s">
        <v>935</v>
      </c>
    </row>
  </sheetData>
  <sheetProtection sheet="1" objects="1" scenarios="1"/>
  <mergeCells count="16">
    <mergeCell ref="C58:C60"/>
    <mergeCell ref="C54:C57"/>
    <mergeCell ref="C2:C11"/>
    <mergeCell ref="C12:C17"/>
    <mergeCell ref="C18:C28"/>
    <mergeCell ref="C44:C53"/>
    <mergeCell ref="C29:C43"/>
    <mergeCell ref="C180:C182"/>
    <mergeCell ref="C178:C179"/>
    <mergeCell ref="C163:C176"/>
    <mergeCell ref="C61:C70"/>
    <mergeCell ref="C71:C94"/>
    <mergeCell ref="C95:C98"/>
    <mergeCell ref="C99:C108"/>
    <mergeCell ref="C109:C115"/>
    <mergeCell ref="C116:C16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91"/>
  <sheetViews>
    <sheetView zoomScaleNormal="100" workbookViewId="0">
      <pane ySplit="1" topLeftCell="A59" activePane="bottomLeft" state="frozen"/>
      <selection pane="bottomLeft" activeCell="D92" sqref="D92"/>
    </sheetView>
  </sheetViews>
  <sheetFormatPr defaultRowHeight="14.6" x14ac:dyDescent="0.4"/>
  <cols>
    <col min="2" max="2" width="39.69140625" customWidth="1"/>
    <col min="3" max="3" width="39.69140625" style="12" customWidth="1"/>
    <col min="4" max="4" width="127.69140625" customWidth="1"/>
  </cols>
  <sheetData>
    <row r="1" spans="1:4" ht="15" thickBot="1" x14ac:dyDescent="0.45">
      <c r="A1" s="329" t="s">
        <v>89</v>
      </c>
      <c r="B1" s="314" t="s">
        <v>92</v>
      </c>
      <c r="C1" s="330" t="s">
        <v>478</v>
      </c>
      <c r="D1" s="331" t="s">
        <v>0</v>
      </c>
    </row>
    <row r="2" spans="1:4" x14ac:dyDescent="0.4">
      <c r="A2" s="278">
        <v>1001</v>
      </c>
      <c r="B2" s="278" t="s">
        <v>356</v>
      </c>
      <c r="C2" s="419" t="s">
        <v>789</v>
      </c>
      <c r="D2" s="271" t="s">
        <v>362</v>
      </c>
    </row>
    <row r="3" spans="1:4" x14ac:dyDescent="0.4">
      <c r="A3" s="278">
        <v>1002</v>
      </c>
      <c r="B3" s="278" t="s">
        <v>357</v>
      </c>
      <c r="C3" s="419"/>
      <c r="D3" s="272" t="s">
        <v>790</v>
      </c>
    </row>
    <row r="4" spans="1:4" x14ac:dyDescent="0.4">
      <c r="A4" s="278">
        <v>1003</v>
      </c>
      <c r="B4" s="278" t="s">
        <v>358</v>
      </c>
      <c r="C4" s="419"/>
      <c r="D4" s="273" t="s">
        <v>10</v>
      </c>
    </row>
    <row r="5" spans="1:4" x14ac:dyDescent="0.4">
      <c r="A5" s="278">
        <v>1004</v>
      </c>
      <c r="B5" s="278" t="s">
        <v>359</v>
      </c>
      <c r="C5" s="419"/>
      <c r="D5" s="273" t="s">
        <v>10</v>
      </c>
    </row>
    <row r="6" spans="1:4" ht="15" thickBot="1" x14ac:dyDescent="0.45">
      <c r="A6" s="279">
        <v>1005</v>
      </c>
      <c r="B6" s="279" t="s">
        <v>360</v>
      </c>
      <c r="C6" s="420"/>
      <c r="D6" s="274" t="s">
        <v>10</v>
      </c>
    </row>
    <row r="7" spans="1:4" x14ac:dyDescent="0.4">
      <c r="A7" s="222">
        <v>1006</v>
      </c>
      <c r="B7" s="221" t="s">
        <v>238</v>
      </c>
      <c r="C7" s="418" t="s">
        <v>791</v>
      </c>
      <c r="D7" s="275" t="s">
        <v>792</v>
      </c>
    </row>
    <row r="8" spans="1:4" x14ac:dyDescent="0.4">
      <c r="A8" s="218">
        <v>1007</v>
      </c>
      <c r="B8" s="217" t="s">
        <v>239</v>
      </c>
      <c r="C8" s="419"/>
      <c r="D8" s="273" t="s">
        <v>10</v>
      </c>
    </row>
    <row r="9" spans="1:4" x14ac:dyDescent="0.4">
      <c r="A9" s="218">
        <v>1008</v>
      </c>
      <c r="B9" s="217" t="s">
        <v>240</v>
      </c>
      <c r="C9" s="419"/>
      <c r="D9" s="273" t="s">
        <v>10</v>
      </c>
    </row>
    <row r="10" spans="1:4" x14ac:dyDescent="0.4">
      <c r="A10" s="218">
        <v>1009</v>
      </c>
      <c r="B10" s="217" t="s">
        <v>241</v>
      </c>
      <c r="C10" s="419"/>
      <c r="D10" s="273" t="s">
        <v>10</v>
      </c>
    </row>
    <row r="11" spans="1:4" x14ac:dyDescent="0.4">
      <c r="A11" s="218">
        <v>1010</v>
      </c>
      <c r="B11" s="217" t="s">
        <v>242</v>
      </c>
      <c r="C11" s="419"/>
      <c r="D11" s="273" t="s">
        <v>10</v>
      </c>
    </row>
    <row r="12" spans="1:4" x14ac:dyDescent="0.4">
      <c r="A12" s="218">
        <v>1011</v>
      </c>
      <c r="B12" s="217" t="s">
        <v>243</v>
      </c>
      <c r="C12" s="419"/>
      <c r="D12" s="273" t="s">
        <v>10</v>
      </c>
    </row>
    <row r="13" spans="1:4" x14ac:dyDescent="0.4">
      <c r="A13" s="218">
        <v>1012</v>
      </c>
      <c r="B13" s="217" t="s">
        <v>244</v>
      </c>
      <c r="C13" s="419"/>
      <c r="D13" s="273" t="s">
        <v>10</v>
      </c>
    </row>
    <row r="14" spans="1:4" x14ac:dyDescent="0.4">
      <c r="A14" s="218">
        <v>1013</v>
      </c>
      <c r="B14" s="217" t="s">
        <v>245</v>
      </c>
      <c r="C14" s="419"/>
      <c r="D14" s="273" t="s">
        <v>10</v>
      </c>
    </row>
    <row r="15" spans="1:4" x14ac:dyDescent="0.4">
      <c r="A15" s="218">
        <v>1014</v>
      </c>
      <c r="B15" s="217" t="s">
        <v>246</v>
      </c>
      <c r="C15" s="419"/>
      <c r="D15" s="273" t="s">
        <v>10</v>
      </c>
    </row>
    <row r="16" spans="1:4" x14ac:dyDescent="0.4">
      <c r="A16" s="218">
        <v>1015</v>
      </c>
      <c r="B16" s="217" t="s">
        <v>247</v>
      </c>
      <c r="C16" s="419"/>
      <c r="D16" s="273" t="s">
        <v>10</v>
      </c>
    </row>
    <row r="17" spans="1:4" x14ac:dyDescent="0.4">
      <c r="A17" s="218">
        <v>1016</v>
      </c>
      <c r="B17" s="217" t="s">
        <v>248</v>
      </c>
      <c r="C17" s="419"/>
      <c r="D17" s="273" t="s">
        <v>10</v>
      </c>
    </row>
    <row r="18" spans="1:4" x14ac:dyDescent="0.4">
      <c r="A18" s="218">
        <v>1017</v>
      </c>
      <c r="B18" s="217" t="s">
        <v>249</v>
      </c>
      <c r="C18" s="419"/>
      <c r="D18" s="273" t="s">
        <v>10</v>
      </c>
    </row>
    <row r="19" spans="1:4" x14ac:dyDescent="0.4">
      <c r="A19" s="218">
        <v>1018</v>
      </c>
      <c r="B19" s="217" t="s">
        <v>734</v>
      </c>
      <c r="C19" s="419"/>
      <c r="D19" s="272" t="s">
        <v>409</v>
      </c>
    </row>
    <row r="20" spans="1:4" x14ac:dyDescent="0.4">
      <c r="A20" s="218">
        <v>1019</v>
      </c>
      <c r="B20" s="217" t="s">
        <v>735</v>
      </c>
      <c r="C20" s="419"/>
      <c r="D20" s="272" t="s">
        <v>410</v>
      </c>
    </row>
    <row r="21" spans="1:4" x14ac:dyDescent="0.4">
      <c r="A21" s="218">
        <v>1020</v>
      </c>
      <c r="B21" s="217" t="s">
        <v>736</v>
      </c>
      <c r="C21" s="419"/>
      <c r="D21" s="272" t="s">
        <v>411</v>
      </c>
    </row>
    <row r="22" spans="1:4" x14ac:dyDescent="0.4">
      <c r="A22" s="218">
        <v>1021</v>
      </c>
      <c r="B22" s="217" t="s">
        <v>737</v>
      </c>
      <c r="C22" s="419"/>
      <c r="D22" s="273" t="s">
        <v>10</v>
      </c>
    </row>
    <row r="23" spans="1:4" x14ac:dyDescent="0.4">
      <c r="A23" s="218">
        <v>1022</v>
      </c>
      <c r="B23" s="217" t="s">
        <v>738</v>
      </c>
      <c r="C23" s="419"/>
      <c r="D23" s="273" t="s">
        <v>10</v>
      </c>
    </row>
    <row r="24" spans="1:4" x14ac:dyDescent="0.4">
      <c r="A24" s="218">
        <v>1023</v>
      </c>
      <c r="B24" s="217" t="s">
        <v>739</v>
      </c>
      <c r="C24" s="419"/>
      <c r="D24" s="272" t="s">
        <v>793</v>
      </c>
    </row>
    <row r="25" spans="1:4" x14ac:dyDescent="0.4">
      <c r="A25" s="218">
        <v>1024</v>
      </c>
      <c r="B25" s="217" t="s">
        <v>740</v>
      </c>
      <c r="C25" s="419"/>
      <c r="D25" s="272" t="s">
        <v>793</v>
      </c>
    </row>
    <row r="26" spans="1:4" x14ac:dyDescent="0.4">
      <c r="A26" s="218">
        <v>1025</v>
      </c>
      <c r="B26" s="217" t="s">
        <v>250</v>
      </c>
      <c r="C26" s="419"/>
      <c r="D26" s="272" t="s">
        <v>412</v>
      </c>
    </row>
    <row r="27" spans="1:4" x14ac:dyDescent="0.4">
      <c r="A27" s="218">
        <v>1026</v>
      </c>
      <c r="B27" s="217" t="s">
        <v>251</v>
      </c>
      <c r="C27" s="419"/>
      <c r="D27" s="272" t="s">
        <v>413</v>
      </c>
    </row>
    <row r="28" spans="1:4" x14ac:dyDescent="0.4">
      <c r="A28" s="218">
        <v>1027</v>
      </c>
      <c r="B28" s="217" t="s">
        <v>741</v>
      </c>
      <c r="C28" s="419"/>
      <c r="D28" s="272" t="s">
        <v>794</v>
      </c>
    </row>
    <row r="29" spans="1:4" x14ac:dyDescent="0.4">
      <c r="A29" s="218">
        <v>1028</v>
      </c>
      <c r="B29" s="218" t="s">
        <v>742</v>
      </c>
      <c r="C29" s="419"/>
      <c r="D29" s="272" t="s">
        <v>795</v>
      </c>
    </row>
    <row r="30" spans="1:4" x14ac:dyDescent="0.4">
      <c r="A30" s="218">
        <v>1029</v>
      </c>
      <c r="B30" s="218" t="s">
        <v>743</v>
      </c>
      <c r="C30" s="419"/>
      <c r="D30" s="272" t="s">
        <v>796</v>
      </c>
    </row>
    <row r="31" spans="1:4" x14ac:dyDescent="0.4">
      <c r="A31" s="218">
        <v>1030</v>
      </c>
      <c r="B31" s="217" t="s">
        <v>350</v>
      </c>
      <c r="C31" s="419"/>
      <c r="D31" s="272" t="s">
        <v>797</v>
      </c>
    </row>
    <row r="32" spans="1:4" x14ac:dyDescent="0.4">
      <c r="A32" s="218">
        <v>1031</v>
      </c>
      <c r="B32" s="217" t="s">
        <v>744</v>
      </c>
      <c r="C32" s="419"/>
      <c r="D32" s="272" t="s">
        <v>798</v>
      </c>
    </row>
    <row r="33" spans="1:4" x14ac:dyDescent="0.4">
      <c r="A33" s="218">
        <v>1032</v>
      </c>
      <c r="B33" s="217" t="s">
        <v>745</v>
      </c>
      <c r="C33" s="419"/>
      <c r="D33" s="272" t="s">
        <v>799</v>
      </c>
    </row>
    <row r="34" spans="1:4" x14ac:dyDescent="0.4">
      <c r="A34" s="218">
        <v>1033</v>
      </c>
      <c r="B34" s="217" t="s">
        <v>800</v>
      </c>
      <c r="C34" s="419"/>
      <c r="D34" s="272" t="s">
        <v>801</v>
      </c>
    </row>
    <row r="35" spans="1:4" x14ac:dyDescent="0.4">
      <c r="A35" s="218">
        <v>1034</v>
      </c>
      <c r="B35" s="217" t="s">
        <v>802</v>
      </c>
      <c r="C35" s="419"/>
      <c r="D35" s="272" t="s">
        <v>803</v>
      </c>
    </row>
    <row r="36" spans="1:4" x14ac:dyDescent="0.4">
      <c r="A36" s="218">
        <v>1035</v>
      </c>
      <c r="B36" s="217" t="s">
        <v>828</v>
      </c>
      <c r="C36" s="419"/>
      <c r="D36" s="272" t="s">
        <v>804</v>
      </c>
    </row>
    <row r="37" spans="1:4" x14ac:dyDescent="0.4">
      <c r="A37" s="218">
        <v>1036</v>
      </c>
      <c r="B37" s="217" t="s">
        <v>829</v>
      </c>
      <c r="C37" s="419"/>
      <c r="D37" s="273" t="s">
        <v>10</v>
      </c>
    </row>
    <row r="38" spans="1:4" x14ac:dyDescent="0.4">
      <c r="A38" s="218">
        <v>1037</v>
      </c>
      <c r="B38" s="217" t="s">
        <v>830</v>
      </c>
      <c r="C38" s="419"/>
      <c r="D38" s="273" t="s">
        <v>10</v>
      </c>
    </row>
    <row r="39" spans="1:4" x14ac:dyDescent="0.4">
      <c r="A39" s="218">
        <v>1038</v>
      </c>
      <c r="B39" s="217" t="s">
        <v>831</v>
      </c>
      <c r="C39" s="419"/>
      <c r="D39" s="273" t="s">
        <v>10</v>
      </c>
    </row>
    <row r="40" spans="1:4" x14ac:dyDescent="0.4">
      <c r="A40" s="218">
        <v>1039</v>
      </c>
      <c r="B40" s="217" t="s">
        <v>832</v>
      </c>
      <c r="C40" s="419"/>
      <c r="D40" s="273" t="s">
        <v>10</v>
      </c>
    </row>
    <row r="41" spans="1:4" x14ac:dyDescent="0.4">
      <c r="A41" s="218">
        <v>1040</v>
      </c>
      <c r="B41" s="217" t="s">
        <v>833</v>
      </c>
      <c r="C41" s="419"/>
      <c r="D41" s="273" t="s">
        <v>10</v>
      </c>
    </row>
    <row r="42" spans="1:4" x14ac:dyDescent="0.4">
      <c r="A42" s="218">
        <v>1041</v>
      </c>
      <c r="B42" s="217" t="s">
        <v>834</v>
      </c>
      <c r="C42" s="419"/>
      <c r="D42" s="273" t="s">
        <v>10</v>
      </c>
    </row>
    <row r="43" spans="1:4" ht="15" thickBot="1" x14ac:dyDescent="0.45">
      <c r="A43" s="220">
        <v>1042</v>
      </c>
      <c r="B43" s="219" t="s">
        <v>835</v>
      </c>
      <c r="C43" s="420"/>
      <c r="D43" s="274" t="s">
        <v>10</v>
      </c>
    </row>
    <row r="44" spans="1:4" x14ac:dyDescent="0.4">
      <c r="A44" s="280">
        <v>1043</v>
      </c>
      <c r="B44" s="281" t="s">
        <v>252</v>
      </c>
      <c r="C44" s="418" t="s">
        <v>396</v>
      </c>
      <c r="D44" s="272" t="s">
        <v>807</v>
      </c>
    </row>
    <row r="45" spans="1:4" ht="29.6" thickBot="1" x14ac:dyDescent="0.45">
      <c r="A45" s="282">
        <v>1044</v>
      </c>
      <c r="B45" s="283" t="s">
        <v>748</v>
      </c>
      <c r="C45" s="420"/>
      <c r="D45" s="276" t="s">
        <v>808</v>
      </c>
    </row>
    <row r="46" spans="1:4" x14ac:dyDescent="0.4">
      <c r="A46" s="284">
        <v>1045</v>
      </c>
      <c r="B46" s="285" t="s">
        <v>253</v>
      </c>
      <c r="C46" s="418" t="s">
        <v>805</v>
      </c>
      <c r="D46" s="272" t="s">
        <v>398</v>
      </c>
    </row>
    <row r="47" spans="1:4" x14ac:dyDescent="0.4">
      <c r="A47" s="286">
        <v>1046</v>
      </c>
      <c r="B47" s="287" t="s">
        <v>254</v>
      </c>
      <c r="C47" s="419"/>
      <c r="D47" s="272" t="s">
        <v>399</v>
      </c>
    </row>
    <row r="48" spans="1:4" x14ac:dyDescent="0.4">
      <c r="A48" s="286">
        <v>1047</v>
      </c>
      <c r="B48" s="287" t="s">
        <v>255</v>
      </c>
      <c r="C48" s="419"/>
      <c r="D48" s="272" t="s">
        <v>400</v>
      </c>
    </row>
    <row r="49" spans="1:4" x14ac:dyDescent="0.4">
      <c r="A49" s="286">
        <v>1048</v>
      </c>
      <c r="B49" s="287" t="s">
        <v>256</v>
      </c>
      <c r="C49" s="419"/>
      <c r="D49" s="272" t="s">
        <v>401</v>
      </c>
    </row>
    <row r="50" spans="1:4" x14ac:dyDescent="0.4">
      <c r="A50" s="286">
        <v>1049</v>
      </c>
      <c r="B50" s="287" t="s">
        <v>257</v>
      </c>
      <c r="C50" s="419"/>
      <c r="D50" s="272" t="s">
        <v>402</v>
      </c>
    </row>
    <row r="51" spans="1:4" x14ac:dyDescent="0.4">
      <c r="A51" s="286">
        <v>1050</v>
      </c>
      <c r="B51" s="287" t="s">
        <v>258</v>
      </c>
      <c r="C51" s="419"/>
      <c r="D51" s="272" t="s">
        <v>403</v>
      </c>
    </row>
    <row r="52" spans="1:4" x14ac:dyDescent="0.4">
      <c r="A52" s="286">
        <v>1051</v>
      </c>
      <c r="B52" s="287" t="s">
        <v>749</v>
      </c>
      <c r="C52" s="419"/>
      <c r="D52" s="272" t="s">
        <v>426</v>
      </c>
    </row>
    <row r="53" spans="1:4" x14ac:dyDescent="0.4">
      <c r="A53" s="286">
        <v>1052</v>
      </c>
      <c r="B53" s="287" t="s">
        <v>750</v>
      </c>
      <c r="C53" s="419"/>
      <c r="D53" s="272" t="s">
        <v>10</v>
      </c>
    </row>
    <row r="54" spans="1:4" x14ac:dyDescent="0.4">
      <c r="A54" s="286">
        <v>1053</v>
      </c>
      <c r="B54" s="287" t="s">
        <v>751</v>
      </c>
      <c r="C54" s="419"/>
      <c r="D54" s="272" t="s">
        <v>809</v>
      </c>
    </row>
    <row r="55" spans="1:4" ht="15" thickBot="1" x14ac:dyDescent="0.45">
      <c r="A55" s="288">
        <v>1054</v>
      </c>
      <c r="B55" s="289" t="s">
        <v>752</v>
      </c>
      <c r="C55" s="420"/>
      <c r="D55" s="44" t="s">
        <v>10</v>
      </c>
    </row>
    <row r="56" spans="1:4" x14ac:dyDescent="0.4">
      <c r="A56" s="290">
        <v>1055</v>
      </c>
      <c r="B56" s="291" t="s">
        <v>259</v>
      </c>
      <c r="C56" s="418" t="s">
        <v>107</v>
      </c>
      <c r="D56" s="277" t="s">
        <v>810</v>
      </c>
    </row>
    <row r="57" spans="1:4" x14ac:dyDescent="0.4">
      <c r="A57" s="292">
        <v>1056</v>
      </c>
      <c r="B57" s="293" t="s">
        <v>260</v>
      </c>
      <c r="C57" s="419"/>
      <c r="D57" s="277" t="s">
        <v>811</v>
      </c>
    </row>
    <row r="58" spans="1:4" x14ac:dyDescent="0.4">
      <c r="A58" s="292">
        <v>1057</v>
      </c>
      <c r="B58" s="293" t="s">
        <v>261</v>
      </c>
      <c r="C58" s="419"/>
      <c r="D58" s="277" t="s">
        <v>812</v>
      </c>
    </row>
    <row r="59" spans="1:4" x14ac:dyDescent="0.4">
      <c r="A59" s="292">
        <v>1058</v>
      </c>
      <c r="B59" s="293" t="s">
        <v>262</v>
      </c>
      <c r="C59" s="419"/>
      <c r="D59" s="277" t="s">
        <v>813</v>
      </c>
    </row>
    <row r="60" spans="1:4" x14ac:dyDescent="0.4">
      <c r="A60" s="292">
        <v>1059</v>
      </c>
      <c r="B60" s="293" t="s">
        <v>788</v>
      </c>
      <c r="C60" s="419"/>
      <c r="D60" s="277" t="s">
        <v>814</v>
      </c>
    </row>
    <row r="61" spans="1:4" x14ac:dyDescent="0.4">
      <c r="A61" s="292">
        <v>1060</v>
      </c>
      <c r="B61" s="293" t="s">
        <v>753</v>
      </c>
      <c r="C61" s="419"/>
      <c r="D61" s="277" t="s">
        <v>815</v>
      </c>
    </row>
    <row r="62" spans="1:4" x14ac:dyDescent="0.4">
      <c r="A62" s="292">
        <v>1061</v>
      </c>
      <c r="B62" s="293" t="s">
        <v>263</v>
      </c>
      <c r="C62" s="419"/>
      <c r="D62" s="277" t="s">
        <v>816</v>
      </c>
    </row>
    <row r="63" spans="1:4" ht="15" thickBot="1" x14ac:dyDescent="0.45">
      <c r="A63" s="294">
        <v>1062</v>
      </c>
      <c r="B63" s="295" t="s">
        <v>264</v>
      </c>
      <c r="C63" s="420"/>
      <c r="D63" s="44" t="s">
        <v>817</v>
      </c>
    </row>
    <row r="64" spans="1:4" x14ac:dyDescent="0.4">
      <c r="A64" s="222">
        <v>1063</v>
      </c>
      <c r="B64" s="221" t="s">
        <v>265</v>
      </c>
      <c r="C64" s="418" t="s">
        <v>818</v>
      </c>
      <c r="D64" s="275" t="s">
        <v>819</v>
      </c>
    </row>
    <row r="65" spans="1:4" x14ac:dyDescent="0.4">
      <c r="A65" s="218">
        <v>1064</v>
      </c>
      <c r="B65" s="217" t="s">
        <v>266</v>
      </c>
      <c r="C65" s="419"/>
      <c r="D65" s="272" t="s">
        <v>10</v>
      </c>
    </row>
    <row r="66" spans="1:4" x14ac:dyDescent="0.4">
      <c r="A66" s="218">
        <v>1065</v>
      </c>
      <c r="B66" s="217" t="s">
        <v>267</v>
      </c>
      <c r="C66" s="419"/>
      <c r="D66" s="272" t="s">
        <v>10</v>
      </c>
    </row>
    <row r="67" spans="1:4" x14ac:dyDescent="0.4">
      <c r="A67" s="218">
        <v>1066</v>
      </c>
      <c r="B67" s="217" t="s">
        <v>268</v>
      </c>
      <c r="C67" s="419"/>
      <c r="D67" s="272" t="s">
        <v>10</v>
      </c>
    </row>
    <row r="68" spans="1:4" x14ac:dyDescent="0.4">
      <c r="A68" s="218">
        <v>1067</v>
      </c>
      <c r="B68" s="217" t="s">
        <v>269</v>
      </c>
      <c r="C68" s="419"/>
      <c r="D68" s="272" t="s">
        <v>10</v>
      </c>
    </row>
    <row r="69" spans="1:4" x14ac:dyDescent="0.4">
      <c r="A69" s="218">
        <v>1068</v>
      </c>
      <c r="B69" s="217" t="s">
        <v>754</v>
      </c>
      <c r="C69" s="419"/>
      <c r="D69" s="272" t="s">
        <v>10</v>
      </c>
    </row>
    <row r="70" spans="1:4" ht="15" thickBot="1" x14ac:dyDescent="0.45">
      <c r="A70" s="220">
        <v>1069</v>
      </c>
      <c r="B70" s="219" t="s">
        <v>755</v>
      </c>
      <c r="C70" s="420"/>
      <c r="D70" s="44" t="s">
        <v>10</v>
      </c>
    </row>
    <row r="71" spans="1:4" x14ac:dyDescent="0.4">
      <c r="A71" s="280">
        <v>1070</v>
      </c>
      <c r="B71" s="281" t="s">
        <v>756</v>
      </c>
      <c r="C71" s="418" t="s">
        <v>806</v>
      </c>
      <c r="D71" s="270" t="s">
        <v>475</v>
      </c>
    </row>
    <row r="72" spans="1:4" x14ac:dyDescent="0.4">
      <c r="A72" s="296">
        <v>1071</v>
      </c>
      <c r="B72" s="297" t="s">
        <v>757</v>
      </c>
      <c r="C72" s="419"/>
      <c r="D72" s="270" t="s">
        <v>826</v>
      </c>
    </row>
    <row r="73" spans="1:4" ht="29.15" x14ac:dyDescent="0.4">
      <c r="A73" s="296">
        <v>1072</v>
      </c>
      <c r="B73" s="297" t="s">
        <v>351</v>
      </c>
      <c r="C73" s="419"/>
      <c r="D73" s="139" t="s">
        <v>451</v>
      </c>
    </row>
    <row r="74" spans="1:4" ht="29.15" x14ac:dyDescent="0.4">
      <c r="A74" s="296">
        <v>1073</v>
      </c>
      <c r="B74" s="297" t="s">
        <v>758</v>
      </c>
      <c r="C74" s="419"/>
      <c r="D74" s="139" t="s">
        <v>452</v>
      </c>
    </row>
    <row r="75" spans="1:4" ht="29.15" x14ac:dyDescent="0.4">
      <c r="A75" s="296">
        <v>1074</v>
      </c>
      <c r="B75" s="297" t="s">
        <v>352</v>
      </c>
      <c r="C75" s="419"/>
      <c r="D75" s="139" t="s">
        <v>822</v>
      </c>
    </row>
    <row r="76" spans="1:4" ht="29.15" x14ac:dyDescent="0.4">
      <c r="A76" s="296">
        <v>1075</v>
      </c>
      <c r="B76" s="297" t="s">
        <v>759</v>
      </c>
      <c r="C76" s="419"/>
      <c r="D76" s="139" t="s">
        <v>823</v>
      </c>
    </row>
    <row r="77" spans="1:4" x14ac:dyDescent="0.4">
      <c r="A77" s="296">
        <v>1076</v>
      </c>
      <c r="B77" s="297" t="s">
        <v>760</v>
      </c>
      <c r="C77" s="419"/>
      <c r="D77" s="139" t="s">
        <v>825</v>
      </c>
    </row>
    <row r="78" spans="1:4" x14ac:dyDescent="0.4">
      <c r="A78" s="296">
        <v>1077</v>
      </c>
      <c r="B78" s="297" t="s">
        <v>761</v>
      </c>
      <c r="C78" s="419"/>
      <c r="D78" s="139" t="s">
        <v>824</v>
      </c>
    </row>
    <row r="79" spans="1:4" x14ac:dyDescent="0.4">
      <c r="A79" s="296">
        <v>1078</v>
      </c>
      <c r="B79" s="297" t="s">
        <v>762</v>
      </c>
      <c r="C79" s="419"/>
      <c r="D79" s="277" t="s">
        <v>820</v>
      </c>
    </row>
    <row r="80" spans="1:4" x14ac:dyDescent="0.4">
      <c r="A80" s="296">
        <v>1079</v>
      </c>
      <c r="B80" s="297" t="s">
        <v>763</v>
      </c>
      <c r="C80" s="419"/>
      <c r="D80" s="272" t="s">
        <v>10</v>
      </c>
    </row>
    <row r="81" spans="1:4" x14ac:dyDescent="0.4">
      <c r="A81" s="296">
        <v>1080</v>
      </c>
      <c r="B81" s="297" t="s">
        <v>764</v>
      </c>
      <c r="C81" s="419"/>
      <c r="D81" s="272" t="s">
        <v>10</v>
      </c>
    </row>
    <row r="82" spans="1:4" ht="15" thickBot="1" x14ac:dyDescent="0.45">
      <c r="A82" s="282">
        <v>1081</v>
      </c>
      <c r="B82" s="283" t="s">
        <v>765</v>
      </c>
      <c r="C82" s="420"/>
      <c r="D82" s="44" t="s">
        <v>10</v>
      </c>
    </row>
    <row r="83" spans="1:4" x14ac:dyDescent="0.4">
      <c r="A83" s="284">
        <v>1082</v>
      </c>
      <c r="B83" s="285" t="s">
        <v>766</v>
      </c>
      <c r="C83" s="418" t="s">
        <v>448</v>
      </c>
      <c r="D83" s="275" t="s">
        <v>821</v>
      </c>
    </row>
    <row r="84" spans="1:4" x14ac:dyDescent="0.4">
      <c r="A84" s="286">
        <v>1083</v>
      </c>
      <c r="B84" s="287" t="s">
        <v>767</v>
      </c>
      <c r="C84" s="419"/>
      <c r="D84" s="272" t="s">
        <v>10</v>
      </c>
    </row>
    <row r="85" spans="1:4" x14ac:dyDescent="0.4">
      <c r="A85" s="286">
        <v>1084</v>
      </c>
      <c r="B85" s="287" t="s">
        <v>768</v>
      </c>
      <c r="C85" s="419"/>
      <c r="D85" s="272" t="s">
        <v>10</v>
      </c>
    </row>
    <row r="86" spans="1:4" x14ac:dyDescent="0.4">
      <c r="A86" s="286">
        <v>1085</v>
      </c>
      <c r="B86" s="287" t="s">
        <v>769</v>
      </c>
      <c r="C86" s="419"/>
      <c r="D86" s="272" t="s">
        <v>10</v>
      </c>
    </row>
    <row r="87" spans="1:4" ht="15" thickBot="1" x14ac:dyDescent="0.45">
      <c r="A87" s="288">
        <v>1086</v>
      </c>
      <c r="B87" s="289" t="s">
        <v>770</v>
      </c>
      <c r="C87" s="420"/>
      <c r="D87" s="44" t="s">
        <v>10</v>
      </c>
    </row>
    <row r="88" spans="1:4" x14ac:dyDescent="0.4">
      <c r="A88" s="280">
        <v>1087</v>
      </c>
      <c r="B88" s="281" t="s">
        <v>926</v>
      </c>
      <c r="C88" s="418" t="s">
        <v>922</v>
      </c>
      <c r="D88" s="146" t="s">
        <v>942</v>
      </c>
    </row>
    <row r="89" spans="1:4" ht="29.6" thickBot="1" x14ac:dyDescent="0.45">
      <c r="A89" s="282">
        <v>1088</v>
      </c>
      <c r="B89" s="283" t="s">
        <v>927</v>
      </c>
      <c r="C89" s="420"/>
      <c r="D89" s="143" t="s">
        <v>937</v>
      </c>
    </row>
    <row r="90" spans="1:4" x14ac:dyDescent="0.4">
      <c r="B90" s="118"/>
    </row>
    <row r="91" spans="1:4" x14ac:dyDescent="0.4">
      <c r="B91" s="118"/>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4.6" x14ac:dyDescent="0.4"/>
  <cols>
    <col min="2" max="3" width="39.69140625" customWidth="1"/>
    <col min="4" max="4" width="127.69140625" customWidth="1"/>
  </cols>
  <sheetData>
    <row r="1" spans="1:4" ht="15" thickBot="1" x14ac:dyDescent="0.45">
      <c r="A1" s="327" t="s">
        <v>89</v>
      </c>
      <c r="B1" s="13" t="s">
        <v>92</v>
      </c>
      <c r="C1" s="328" t="s">
        <v>478</v>
      </c>
      <c r="D1" s="328" t="s">
        <v>0</v>
      </c>
    </row>
    <row r="2" spans="1:4" x14ac:dyDescent="0.4">
      <c r="A2" s="183">
        <v>2001</v>
      </c>
      <c r="B2" s="184" t="s">
        <v>270</v>
      </c>
      <c r="C2" s="418" t="s">
        <v>361</v>
      </c>
      <c r="D2" s="146" t="s">
        <v>363</v>
      </c>
    </row>
    <row r="3" spans="1:4" x14ac:dyDescent="0.4">
      <c r="A3" s="300">
        <v>2002</v>
      </c>
      <c r="B3" s="306" t="s">
        <v>271</v>
      </c>
      <c r="C3" s="419"/>
      <c r="D3" s="270" t="s">
        <v>10</v>
      </c>
    </row>
    <row r="4" spans="1:4" x14ac:dyDescent="0.4">
      <c r="A4" s="300">
        <v>2003</v>
      </c>
      <c r="B4" s="306" t="s">
        <v>272</v>
      </c>
      <c r="C4" s="419"/>
      <c r="D4" s="270" t="s">
        <v>10</v>
      </c>
    </row>
    <row r="5" spans="1:4" x14ac:dyDescent="0.4">
      <c r="A5" s="300">
        <v>2004</v>
      </c>
      <c r="B5" s="306" t="s">
        <v>273</v>
      </c>
      <c r="C5" s="419"/>
      <c r="D5" s="270" t="s">
        <v>10</v>
      </c>
    </row>
    <row r="6" spans="1:4" x14ac:dyDescent="0.4">
      <c r="A6" s="300">
        <v>2005</v>
      </c>
      <c r="B6" s="306" t="s">
        <v>274</v>
      </c>
      <c r="C6" s="419"/>
      <c r="D6" s="270" t="s">
        <v>10</v>
      </c>
    </row>
    <row r="7" spans="1:4" ht="15" thickBot="1" x14ac:dyDescent="0.45">
      <c r="A7" s="185">
        <v>2006</v>
      </c>
      <c r="B7" s="186" t="s">
        <v>275</v>
      </c>
      <c r="C7" s="420"/>
      <c r="D7" s="143" t="s">
        <v>10</v>
      </c>
    </row>
    <row r="8" spans="1:4" ht="15" thickBot="1" x14ac:dyDescent="0.45">
      <c r="A8" s="187">
        <v>2007</v>
      </c>
      <c r="B8" s="188" t="s">
        <v>276</v>
      </c>
      <c r="C8" s="189" t="s">
        <v>462</v>
      </c>
      <c r="D8" s="190" t="s">
        <v>463</v>
      </c>
    </row>
    <row r="9" spans="1:4" x14ac:dyDescent="0.4">
      <c r="A9" s="135">
        <v>2008</v>
      </c>
      <c r="B9" s="136" t="s">
        <v>277</v>
      </c>
      <c r="C9" s="421" t="s">
        <v>464</v>
      </c>
      <c r="D9" s="146" t="s">
        <v>465</v>
      </c>
    </row>
    <row r="10" spans="1:4" x14ac:dyDescent="0.4">
      <c r="A10" s="298">
        <v>2009</v>
      </c>
      <c r="B10" s="138" t="s">
        <v>278</v>
      </c>
      <c r="C10" s="422"/>
      <c r="D10" s="270" t="s">
        <v>466</v>
      </c>
    </row>
    <row r="11" spans="1:4" x14ac:dyDescent="0.4">
      <c r="A11" s="298">
        <v>2010</v>
      </c>
      <c r="B11" s="138" t="s">
        <v>771</v>
      </c>
      <c r="C11" s="422"/>
      <c r="D11" s="270" t="s">
        <v>819</v>
      </c>
    </row>
    <row r="12" spans="1:4" x14ac:dyDescent="0.4">
      <c r="A12" s="298">
        <v>2011</v>
      </c>
      <c r="B12" s="138" t="s">
        <v>772</v>
      </c>
      <c r="C12" s="422"/>
      <c r="D12" s="270" t="s">
        <v>10</v>
      </c>
    </row>
    <row r="13" spans="1:4" x14ac:dyDescent="0.4">
      <c r="A13" s="298">
        <v>2012</v>
      </c>
      <c r="B13" s="138" t="s">
        <v>773</v>
      </c>
      <c r="C13" s="422"/>
      <c r="D13" s="270" t="s">
        <v>10</v>
      </c>
    </row>
    <row r="14" spans="1:4" x14ac:dyDescent="0.4">
      <c r="A14" s="298">
        <v>2013</v>
      </c>
      <c r="B14" s="138" t="s">
        <v>774</v>
      </c>
      <c r="C14" s="422"/>
      <c r="D14" s="270" t="s">
        <v>10</v>
      </c>
    </row>
    <row r="15" spans="1:4" x14ac:dyDescent="0.4">
      <c r="A15" s="298">
        <v>2014</v>
      </c>
      <c r="B15" s="138" t="s">
        <v>775</v>
      </c>
      <c r="C15" s="422"/>
      <c r="D15" s="270" t="s">
        <v>10</v>
      </c>
    </row>
    <row r="16" spans="1:4" x14ac:dyDescent="0.4">
      <c r="A16" s="298">
        <v>2015</v>
      </c>
      <c r="B16" s="138" t="s">
        <v>776</v>
      </c>
      <c r="C16" s="422"/>
      <c r="D16" s="270" t="s">
        <v>10</v>
      </c>
    </row>
    <row r="17" spans="1:4" ht="15" thickBot="1" x14ac:dyDescent="0.45">
      <c r="A17" s="140">
        <v>2016</v>
      </c>
      <c r="B17" s="178" t="s">
        <v>777</v>
      </c>
      <c r="C17" s="423"/>
      <c r="D17" s="143" t="s">
        <v>10</v>
      </c>
    </row>
    <row r="18" spans="1:4" x14ac:dyDescent="0.4">
      <c r="A18" s="163">
        <v>2017</v>
      </c>
      <c r="B18" s="176" t="s">
        <v>279</v>
      </c>
      <c r="C18" s="418" t="s">
        <v>467</v>
      </c>
      <c r="D18" s="146" t="s">
        <v>468</v>
      </c>
    </row>
    <row r="19" spans="1:4" x14ac:dyDescent="0.4">
      <c r="A19" s="299">
        <v>2018</v>
      </c>
      <c r="B19" s="301" t="s">
        <v>280</v>
      </c>
      <c r="C19" s="419"/>
      <c r="D19" s="270" t="s">
        <v>469</v>
      </c>
    </row>
    <row r="20" spans="1:4" ht="15" thickBot="1" x14ac:dyDescent="0.45">
      <c r="A20" s="166">
        <v>2019</v>
      </c>
      <c r="B20" s="177" t="s">
        <v>281</v>
      </c>
      <c r="C20" s="420"/>
      <c r="D20" s="143" t="s">
        <v>470</v>
      </c>
    </row>
    <row r="21" spans="1:4" x14ac:dyDescent="0.4">
      <c r="A21" s="153">
        <v>2020</v>
      </c>
      <c r="B21" s="154" t="s">
        <v>282</v>
      </c>
      <c r="C21" s="421" t="s">
        <v>406</v>
      </c>
      <c r="D21" s="146" t="s">
        <v>471</v>
      </c>
    </row>
    <row r="22" spans="1:4" x14ac:dyDescent="0.4">
      <c r="A22" s="305">
        <v>2021</v>
      </c>
      <c r="B22" s="155" t="s">
        <v>283</v>
      </c>
      <c r="C22" s="422"/>
      <c r="D22" s="270" t="s">
        <v>10</v>
      </c>
    </row>
    <row r="23" spans="1:4" x14ac:dyDescent="0.4">
      <c r="A23" s="305">
        <v>2022</v>
      </c>
      <c r="B23" s="155" t="s">
        <v>284</v>
      </c>
      <c r="C23" s="422"/>
      <c r="D23" s="270" t="s">
        <v>10</v>
      </c>
    </row>
    <row r="24" spans="1:4" x14ac:dyDescent="0.4">
      <c r="A24" s="305">
        <v>2023</v>
      </c>
      <c r="B24" s="155" t="s">
        <v>285</v>
      </c>
      <c r="C24" s="422"/>
      <c r="D24" s="270" t="s">
        <v>10</v>
      </c>
    </row>
    <row r="25" spans="1:4" x14ac:dyDescent="0.4">
      <c r="A25" s="305">
        <v>2024</v>
      </c>
      <c r="B25" s="155" t="s">
        <v>286</v>
      </c>
      <c r="C25" s="422"/>
      <c r="D25" s="270" t="s">
        <v>10</v>
      </c>
    </row>
    <row r="26" spans="1:4" x14ac:dyDescent="0.4">
      <c r="A26" s="305">
        <v>2025</v>
      </c>
      <c r="B26" s="155" t="s">
        <v>287</v>
      </c>
      <c r="C26" s="422"/>
      <c r="D26" s="270" t="s">
        <v>10</v>
      </c>
    </row>
    <row r="27" spans="1:4" x14ac:dyDescent="0.4">
      <c r="A27" s="305">
        <v>2026</v>
      </c>
      <c r="B27" s="155" t="s">
        <v>288</v>
      </c>
      <c r="C27" s="422"/>
      <c r="D27" s="270" t="s">
        <v>10</v>
      </c>
    </row>
    <row r="28" spans="1:4" x14ac:dyDescent="0.4">
      <c r="A28" s="305">
        <v>2027</v>
      </c>
      <c r="B28" s="155" t="s">
        <v>289</v>
      </c>
      <c r="C28" s="422"/>
      <c r="D28" s="270" t="s">
        <v>10</v>
      </c>
    </row>
    <row r="29" spans="1:4" x14ac:dyDescent="0.4">
      <c r="A29" s="305">
        <v>2028</v>
      </c>
      <c r="B29" s="155" t="s">
        <v>290</v>
      </c>
      <c r="C29" s="422"/>
      <c r="D29" s="270" t="s">
        <v>10</v>
      </c>
    </row>
    <row r="30" spans="1:4" x14ac:dyDescent="0.4">
      <c r="A30" s="305">
        <v>2029</v>
      </c>
      <c r="B30" s="155" t="s">
        <v>291</v>
      </c>
      <c r="C30" s="422"/>
      <c r="D30" s="270" t="s">
        <v>10</v>
      </c>
    </row>
    <row r="31" spans="1:4" x14ac:dyDescent="0.4">
      <c r="A31" s="305">
        <v>2030</v>
      </c>
      <c r="B31" s="155" t="s">
        <v>292</v>
      </c>
      <c r="C31" s="422"/>
      <c r="D31" s="270" t="s">
        <v>10</v>
      </c>
    </row>
    <row r="32" spans="1:4" x14ac:dyDescent="0.4">
      <c r="A32" s="305">
        <v>2031</v>
      </c>
      <c r="B32" s="155" t="s">
        <v>293</v>
      </c>
      <c r="C32" s="422"/>
      <c r="D32" s="270" t="s">
        <v>10</v>
      </c>
    </row>
    <row r="33" spans="1:4" x14ac:dyDescent="0.4">
      <c r="A33" s="305">
        <v>2032</v>
      </c>
      <c r="B33" s="155" t="s">
        <v>294</v>
      </c>
      <c r="C33" s="422"/>
      <c r="D33" s="270" t="s">
        <v>408</v>
      </c>
    </row>
    <row r="34" spans="1:4" x14ac:dyDescent="0.4">
      <c r="A34" s="305">
        <v>2033</v>
      </c>
      <c r="B34" s="155" t="s">
        <v>295</v>
      </c>
      <c r="C34" s="422"/>
      <c r="D34" s="270" t="s">
        <v>409</v>
      </c>
    </row>
    <row r="35" spans="1:4" x14ac:dyDescent="0.4">
      <c r="A35" s="305">
        <v>2034</v>
      </c>
      <c r="B35" s="155" t="s">
        <v>296</v>
      </c>
      <c r="C35" s="422"/>
      <c r="D35" s="270" t="s">
        <v>410</v>
      </c>
    </row>
    <row r="36" spans="1:4" x14ac:dyDescent="0.4">
      <c r="A36" s="305">
        <v>2035</v>
      </c>
      <c r="B36" s="155" t="s">
        <v>297</v>
      </c>
      <c r="C36" s="422"/>
      <c r="D36" s="270" t="s">
        <v>411</v>
      </c>
    </row>
    <row r="37" spans="1:4" x14ac:dyDescent="0.4">
      <c r="A37" s="305">
        <v>2036</v>
      </c>
      <c r="B37" s="155" t="s">
        <v>298</v>
      </c>
      <c r="C37" s="422"/>
      <c r="D37" s="270" t="s">
        <v>472</v>
      </c>
    </row>
    <row r="38" spans="1:4" x14ac:dyDescent="0.4">
      <c r="A38" s="305">
        <v>2037</v>
      </c>
      <c r="B38" s="155" t="s">
        <v>299</v>
      </c>
      <c r="C38" s="422"/>
      <c r="D38" s="270" t="s">
        <v>472</v>
      </c>
    </row>
    <row r="39" spans="1:4" x14ac:dyDescent="0.4">
      <c r="A39" s="305">
        <v>2038</v>
      </c>
      <c r="B39" s="155" t="s">
        <v>300</v>
      </c>
      <c r="C39" s="422"/>
      <c r="D39" s="270" t="s">
        <v>438</v>
      </c>
    </row>
    <row r="40" spans="1:4" x14ac:dyDescent="0.4">
      <c r="A40" s="305">
        <v>2039</v>
      </c>
      <c r="B40" s="155" t="s">
        <v>301</v>
      </c>
      <c r="C40" s="422"/>
      <c r="D40" s="270" t="s">
        <v>438</v>
      </c>
    </row>
    <row r="41" spans="1:4" x14ac:dyDescent="0.4">
      <c r="A41" s="305">
        <v>2040</v>
      </c>
      <c r="B41" s="155" t="s">
        <v>302</v>
      </c>
      <c r="C41" s="422"/>
      <c r="D41" s="270" t="s">
        <v>412</v>
      </c>
    </row>
    <row r="42" spans="1:4" x14ac:dyDescent="0.4">
      <c r="A42" s="305">
        <v>2041</v>
      </c>
      <c r="B42" s="155" t="s">
        <v>303</v>
      </c>
      <c r="C42" s="422"/>
      <c r="D42" s="270" t="s">
        <v>413</v>
      </c>
    </row>
    <row r="43" spans="1:4" x14ac:dyDescent="0.4">
      <c r="A43" s="305">
        <v>2042</v>
      </c>
      <c r="B43" s="155" t="s">
        <v>784</v>
      </c>
      <c r="C43" s="422"/>
      <c r="D43" s="270" t="s">
        <v>803</v>
      </c>
    </row>
    <row r="44" spans="1:4" x14ac:dyDescent="0.4">
      <c r="A44" s="305">
        <v>2043</v>
      </c>
      <c r="B44" s="155" t="s">
        <v>785</v>
      </c>
      <c r="C44" s="422"/>
      <c r="D44" s="270" t="s">
        <v>804</v>
      </c>
    </row>
    <row r="45" spans="1:4" x14ac:dyDescent="0.4">
      <c r="A45" s="305">
        <v>2044</v>
      </c>
      <c r="B45" s="155" t="s">
        <v>304</v>
      </c>
      <c r="C45" s="422"/>
      <c r="D45" s="270" t="s">
        <v>473</v>
      </c>
    </row>
    <row r="46" spans="1:4" x14ac:dyDescent="0.4">
      <c r="A46" s="305">
        <v>2045</v>
      </c>
      <c r="B46" s="155" t="s">
        <v>355</v>
      </c>
      <c r="C46" s="422"/>
      <c r="D46" s="270" t="s">
        <v>474</v>
      </c>
    </row>
    <row r="47" spans="1:4" x14ac:dyDescent="0.4">
      <c r="A47" s="305">
        <v>2046</v>
      </c>
      <c r="B47" s="155" t="s">
        <v>782</v>
      </c>
      <c r="C47" s="422"/>
      <c r="D47" s="270" t="s">
        <v>795</v>
      </c>
    </row>
    <row r="48" spans="1:4" ht="15" thickBot="1" x14ac:dyDescent="0.45">
      <c r="A48" s="158">
        <v>2047</v>
      </c>
      <c r="B48" s="175" t="s">
        <v>783</v>
      </c>
      <c r="C48" s="423"/>
      <c r="D48" s="143" t="s">
        <v>796</v>
      </c>
    </row>
    <row r="49" spans="1:4" ht="15" customHeight="1" x14ac:dyDescent="0.4">
      <c r="A49" s="163">
        <v>2048</v>
      </c>
      <c r="B49" s="176" t="s">
        <v>305</v>
      </c>
      <c r="C49" s="418" t="s">
        <v>467</v>
      </c>
      <c r="D49" s="146" t="s">
        <v>398</v>
      </c>
    </row>
    <row r="50" spans="1:4" x14ac:dyDescent="0.4">
      <c r="A50" s="299">
        <v>2049</v>
      </c>
      <c r="B50" s="301" t="s">
        <v>306</v>
      </c>
      <c r="C50" s="419"/>
      <c r="D50" s="270" t="s">
        <v>399</v>
      </c>
    </row>
    <row r="51" spans="1:4" x14ac:dyDescent="0.4">
      <c r="A51" s="299">
        <v>2050</v>
      </c>
      <c r="B51" s="301" t="s">
        <v>786</v>
      </c>
      <c r="C51" s="419"/>
      <c r="D51" s="270" t="s">
        <v>400</v>
      </c>
    </row>
    <row r="52" spans="1:4" x14ac:dyDescent="0.4">
      <c r="A52" s="299">
        <v>2051</v>
      </c>
      <c r="B52" s="301" t="s">
        <v>787</v>
      </c>
      <c r="C52" s="419"/>
      <c r="D52" s="270" t="s">
        <v>401</v>
      </c>
    </row>
    <row r="53" spans="1:4" x14ac:dyDescent="0.4">
      <c r="A53" s="299">
        <v>2052</v>
      </c>
      <c r="B53" s="301" t="s">
        <v>307</v>
      </c>
      <c r="C53" s="419"/>
      <c r="D53" s="270" t="s">
        <v>402</v>
      </c>
    </row>
    <row r="54" spans="1:4" x14ac:dyDescent="0.4">
      <c r="A54" s="299">
        <v>2053</v>
      </c>
      <c r="B54" s="301" t="s">
        <v>308</v>
      </c>
      <c r="C54" s="419"/>
      <c r="D54" s="270" t="s">
        <v>403</v>
      </c>
    </row>
    <row r="55" spans="1:4" ht="29.5" customHeight="1" x14ac:dyDescent="0.4">
      <c r="A55" s="299">
        <v>2054</v>
      </c>
      <c r="B55" s="301" t="s">
        <v>336</v>
      </c>
      <c r="C55" s="419"/>
      <c r="D55" s="270" t="s">
        <v>827</v>
      </c>
    </row>
    <row r="56" spans="1:4" ht="15" thickBot="1" x14ac:dyDescent="0.45">
      <c r="A56" s="166">
        <v>2055</v>
      </c>
      <c r="B56" s="177" t="s">
        <v>337</v>
      </c>
      <c r="C56" s="420"/>
      <c r="D56" s="143" t="s">
        <v>10</v>
      </c>
    </row>
    <row r="57" spans="1:4" x14ac:dyDescent="0.4">
      <c r="A57" s="179">
        <v>2056</v>
      </c>
      <c r="B57" s="180" t="s">
        <v>778</v>
      </c>
      <c r="C57" s="418" t="s">
        <v>448</v>
      </c>
      <c r="D57" s="146" t="s">
        <v>475</v>
      </c>
    </row>
    <row r="58" spans="1:4" x14ac:dyDescent="0.4">
      <c r="A58" s="303">
        <v>2057</v>
      </c>
      <c r="B58" s="302" t="s">
        <v>779</v>
      </c>
      <c r="C58" s="419"/>
      <c r="D58" s="270" t="s">
        <v>826</v>
      </c>
    </row>
    <row r="59" spans="1:4" ht="15" customHeight="1" x14ac:dyDescent="0.4">
      <c r="A59" s="303">
        <v>2058</v>
      </c>
      <c r="B59" s="302" t="s">
        <v>309</v>
      </c>
      <c r="C59" s="419"/>
      <c r="D59" s="270" t="s">
        <v>475</v>
      </c>
    </row>
    <row r="60" spans="1:4" x14ac:dyDescent="0.4">
      <c r="A60" s="303">
        <v>2059</v>
      </c>
      <c r="B60" s="302" t="s">
        <v>310</v>
      </c>
      <c r="C60" s="419"/>
      <c r="D60" s="270" t="s">
        <v>10</v>
      </c>
    </row>
    <row r="61" spans="1:4" x14ac:dyDescent="0.4">
      <c r="A61" s="303">
        <v>2060</v>
      </c>
      <c r="B61" s="302" t="s">
        <v>311</v>
      </c>
      <c r="C61" s="419"/>
      <c r="D61" s="270" t="s">
        <v>10</v>
      </c>
    </row>
    <row r="62" spans="1:4" x14ac:dyDescent="0.4">
      <c r="A62" s="303">
        <v>2061</v>
      </c>
      <c r="B62" s="302" t="s">
        <v>312</v>
      </c>
      <c r="C62" s="419"/>
      <c r="D62" s="270" t="s">
        <v>10</v>
      </c>
    </row>
    <row r="63" spans="1:4" ht="29.15" x14ac:dyDescent="0.4">
      <c r="A63" s="303">
        <v>2062</v>
      </c>
      <c r="B63" s="302" t="s">
        <v>328</v>
      </c>
      <c r="C63" s="419"/>
      <c r="D63" s="270" t="s">
        <v>451</v>
      </c>
    </row>
    <row r="64" spans="1:4" ht="29.15" x14ac:dyDescent="0.4">
      <c r="A64" s="303">
        <v>2063</v>
      </c>
      <c r="B64" s="302" t="s">
        <v>329</v>
      </c>
      <c r="C64" s="419"/>
      <c r="D64" s="270" t="s">
        <v>452</v>
      </c>
    </row>
    <row r="65" spans="1:4" ht="29.15" x14ac:dyDescent="0.4">
      <c r="A65" s="303">
        <v>2064</v>
      </c>
      <c r="B65" s="302" t="s">
        <v>780</v>
      </c>
      <c r="C65" s="419"/>
      <c r="D65" s="270" t="s">
        <v>822</v>
      </c>
    </row>
    <row r="66" spans="1:4" ht="29.15" x14ac:dyDescent="0.4">
      <c r="A66" s="303">
        <v>2065</v>
      </c>
      <c r="B66" s="302" t="s">
        <v>781</v>
      </c>
      <c r="C66" s="419"/>
      <c r="D66" s="270" t="s">
        <v>823</v>
      </c>
    </row>
    <row r="67" spans="1:4" x14ac:dyDescent="0.4">
      <c r="A67" s="303">
        <v>2066</v>
      </c>
      <c r="B67" s="302" t="s">
        <v>353</v>
      </c>
      <c r="C67" s="419"/>
      <c r="D67" s="270" t="s">
        <v>460</v>
      </c>
    </row>
    <row r="68" spans="1:4" x14ac:dyDescent="0.4">
      <c r="A68" s="303">
        <v>2067</v>
      </c>
      <c r="B68" s="302" t="s">
        <v>354</v>
      </c>
      <c r="C68" s="419"/>
      <c r="D68" s="270" t="s">
        <v>461</v>
      </c>
    </row>
    <row r="69" spans="1:4" x14ac:dyDescent="0.4">
      <c r="A69" s="303">
        <v>2068</v>
      </c>
      <c r="B69" s="302" t="s">
        <v>335</v>
      </c>
      <c r="C69" s="419"/>
      <c r="D69" s="270" t="s">
        <v>453</v>
      </c>
    </row>
    <row r="70" spans="1:4" x14ac:dyDescent="0.4">
      <c r="A70" s="303">
        <v>2069</v>
      </c>
      <c r="B70" s="302" t="s">
        <v>331</v>
      </c>
      <c r="C70" s="419"/>
      <c r="D70" s="270" t="s">
        <v>10</v>
      </c>
    </row>
    <row r="71" spans="1:4" x14ac:dyDescent="0.4">
      <c r="A71" s="303">
        <v>2070</v>
      </c>
      <c r="B71" s="302" t="s">
        <v>332</v>
      </c>
      <c r="C71" s="419"/>
      <c r="D71" s="270" t="s">
        <v>10</v>
      </c>
    </row>
    <row r="72" spans="1:4" x14ac:dyDescent="0.4">
      <c r="A72" s="303">
        <v>2071</v>
      </c>
      <c r="B72" s="302" t="s">
        <v>334</v>
      </c>
      <c r="C72" s="419"/>
      <c r="D72" s="270" t="s">
        <v>10</v>
      </c>
    </row>
    <row r="73" spans="1:4" x14ac:dyDescent="0.4">
      <c r="A73" s="303">
        <v>2072</v>
      </c>
      <c r="B73" s="302" t="s">
        <v>333</v>
      </c>
      <c r="C73" s="419"/>
      <c r="D73" s="270" t="s">
        <v>10</v>
      </c>
    </row>
    <row r="74" spans="1:4" x14ac:dyDescent="0.4">
      <c r="A74" s="303">
        <v>2073</v>
      </c>
      <c r="B74" s="302" t="s">
        <v>313</v>
      </c>
      <c r="C74" s="419"/>
      <c r="D74" s="270" t="s">
        <v>454</v>
      </c>
    </row>
    <row r="75" spans="1:4" x14ac:dyDescent="0.4">
      <c r="A75" s="303">
        <v>2074</v>
      </c>
      <c r="B75" s="302" t="s">
        <v>314</v>
      </c>
      <c r="C75" s="419"/>
      <c r="D75" s="270" t="s">
        <v>455</v>
      </c>
    </row>
    <row r="76" spans="1:4" x14ac:dyDescent="0.4">
      <c r="A76" s="303">
        <v>2075</v>
      </c>
      <c r="B76" s="302" t="s">
        <v>315</v>
      </c>
      <c r="C76" s="419"/>
      <c r="D76" s="270" t="s">
        <v>456</v>
      </c>
    </row>
    <row r="77" spans="1:4" ht="15" thickBot="1" x14ac:dyDescent="0.45">
      <c r="A77" s="181">
        <v>2076</v>
      </c>
      <c r="B77" s="182" t="s">
        <v>316</v>
      </c>
      <c r="C77" s="420"/>
      <c r="D77" s="143" t="s">
        <v>457</v>
      </c>
    </row>
    <row r="78" spans="1:4" ht="15" thickBot="1" x14ac:dyDescent="0.45">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2525E"/>
  </sheetPr>
  <dimension ref="A1:D155"/>
  <sheetViews>
    <sheetView zoomScaleNormal="100" workbookViewId="0">
      <pane ySplit="1" topLeftCell="A119" activePane="bottomLeft" state="frozen"/>
      <selection pane="bottomLeft"/>
    </sheetView>
  </sheetViews>
  <sheetFormatPr defaultRowHeight="14.6" x14ac:dyDescent="0.4"/>
  <cols>
    <col min="2" max="3" width="39.69140625" customWidth="1"/>
    <col min="4" max="4" width="127.69140625" style="144" customWidth="1"/>
  </cols>
  <sheetData>
    <row r="1" spans="1:4" ht="15" thickBot="1" x14ac:dyDescent="0.45">
      <c r="A1" s="329" t="s">
        <v>89</v>
      </c>
      <c r="B1" s="314" t="s">
        <v>92</v>
      </c>
      <c r="C1" s="331" t="s">
        <v>478</v>
      </c>
      <c r="D1" s="341" t="s">
        <v>0</v>
      </c>
    </row>
    <row r="2" spans="1:4" x14ac:dyDescent="0.4">
      <c r="A2" s="333"/>
      <c r="B2" s="333"/>
      <c r="C2" s="424" t="s">
        <v>843</v>
      </c>
      <c r="D2" s="426" t="s">
        <v>907</v>
      </c>
    </row>
    <row r="3" spans="1:4" x14ac:dyDescent="0.4">
      <c r="A3" s="333"/>
      <c r="B3" s="333"/>
      <c r="C3" s="424"/>
      <c r="D3" s="426"/>
    </row>
    <row r="4" spans="1:4" x14ac:dyDescent="0.4">
      <c r="A4" s="333"/>
      <c r="B4" s="333"/>
      <c r="C4" s="424"/>
      <c r="D4" s="426"/>
    </row>
    <row r="5" spans="1:4" x14ac:dyDescent="0.4">
      <c r="A5" s="333"/>
      <c r="B5" s="333"/>
      <c r="C5" s="424"/>
      <c r="D5" s="426"/>
    </row>
    <row r="6" spans="1:4" x14ac:dyDescent="0.4">
      <c r="A6" s="333"/>
      <c r="B6" s="333"/>
      <c r="C6" s="424"/>
      <c r="D6" s="426"/>
    </row>
    <row r="7" spans="1:4" x14ac:dyDescent="0.4">
      <c r="A7" s="333"/>
      <c r="B7" s="333"/>
      <c r="C7" s="424"/>
      <c r="D7" s="426"/>
    </row>
    <row r="8" spans="1:4" x14ac:dyDescent="0.4">
      <c r="A8" s="333"/>
      <c r="B8" s="333"/>
      <c r="C8" s="424"/>
      <c r="D8" s="426"/>
    </row>
    <row r="9" spans="1:4" x14ac:dyDescent="0.4">
      <c r="A9" s="333"/>
      <c r="B9" s="333"/>
      <c r="C9" s="424"/>
      <c r="D9" s="426"/>
    </row>
    <row r="10" spans="1:4" x14ac:dyDescent="0.4">
      <c r="A10" s="333"/>
      <c r="B10" s="333"/>
      <c r="C10" s="424"/>
      <c r="D10" s="426"/>
    </row>
    <row r="11" spans="1:4" x14ac:dyDescent="0.4">
      <c r="A11" s="333"/>
      <c r="B11" s="333"/>
      <c r="C11" s="424"/>
      <c r="D11" s="426"/>
    </row>
    <row r="12" spans="1:4" x14ac:dyDescent="0.4">
      <c r="A12" s="333"/>
      <c r="B12" s="333"/>
      <c r="C12" s="424"/>
      <c r="D12" s="426"/>
    </row>
    <row r="13" spans="1:4" x14ac:dyDescent="0.4">
      <c r="A13" s="333"/>
      <c r="B13" s="333"/>
      <c r="C13" s="424"/>
      <c r="D13" s="426"/>
    </row>
    <row r="14" spans="1:4" x14ac:dyDescent="0.4">
      <c r="A14" s="333"/>
      <c r="B14" s="333"/>
      <c r="C14" s="424"/>
      <c r="D14" s="426"/>
    </row>
    <row r="15" spans="1:4" x14ac:dyDescent="0.4">
      <c r="A15" s="333"/>
      <c r="B15" s="333"/>
      <c r="C15" s="424"/>
      <c r="D15" s="426"/>
    </row>
    <row r="16" spans="1:4" x14ac:dyDescent="0.4">
      <c r="A16" s="333"/>
      <c r="B16" s="333"/>
      <c r="C16" s="424"/>
      <c r="D16" s="426"/>
    </row>
    <row r="17" spans="1:4" ht="15" thickBot="1" x14ac:dyDescent="0.45">
      <c r="A17" s="315"/>
      <c r="B17" s="315"/>
      <c r="C17" s="425"/>
      <c r="D17" s="427"/>
    </row>
    <row r="18" spans="1:4" ht="14.5" customHeight="1" x14ac:dyDescent="0.4">
      <c r="A18" s="335"/>
      <c r="B18" s="335"/>
      <c r="C18" s="419" t="s">
        <v>361</v>
      </c>
      <c r="D18" s="426" t="s">
        <v>844</v>
      </c>
    </row>
    <row r="19" spans="1:4" x14ac:dyDescent="0.4">
      <c r="A19" s="335"/>
      <c r="B19" s="335"/>
      <c r="C19" s="419"/>
      <c r="D19" s="426"/>
    </row>
    <row r="20" spans="1:4" x14ac:dyDescent="0.4">
      <c r="A20" s="335"/>
      <c r="B20" s="335"/>
      <c r="C20" s="419"/>
      <c r="D20" s="426"/>
    </row>
    <row r="21" spans="1:4" x14ac:dyDescent="0.4">
      <c r="A21" s="335"/>
      <c r="B21" s="335"/>
      <c r="C21" s="419"/>
      <c r="D21" s="426"/>
    </row>
    <row r="22" spans="1:4" x14ac:dyDescent="0.4">
      <c r="A22" s="335"/>
      <c r="B22" s="335"/>
      <c r="C22" s="419"/>
      <c r="D22" s="426"/>
    </row>
    <row r="23" spans="1:4" x14ac:dyDescent="0.4">
      <c r="A23" s="335"/>
      <c r="B23" s="335"/>
      <c r="C23" s="419"/>
      <c r="D23" s="426"/>
    </row>
    <row r="24" spans="1:4" x14ac:dyDescent="0.4">
      <c r="A24" s="335"/>
      <c r="B24" s="335"/>
      <c r="C24" s="419"/>
      <c r="D24" s="426"/>
    </row>
    <row r="25" spans="1:4" x14ac:dyDescent="0.4">
      <c r="A25" s="335"/>
      <c r="B25" s="335"/>
      <c r="C25" s="419"/>
      <c r="D25" s="426"/>
    </row>
    <row r="26" spans="1:4" ht="14.5" customHeight="1" x14ac:dyDescent="0.4">
      <c r="A26" s="335"/>
      <c r="B26" s="335"/>
      <c r="C26" s="419"/>
      <c r="D26" s="426"/>
    </row>
    <row r="27" spans="1:4" x14ac:dyDescent="0.4">
      <c r="A27" s="335"/>
      <c r="B27" s="335"/>
      <c r="C27" s="419"/>
      <c r="D27" s="426"/>
    </row>
    <row r="28" spans="1:4" x14ac:dyDescent="0.4">
      <c r="A28" s="335"/>
      <c r="B28" s="335"/>
      <c r="C28" s="419"/>
      <c r="D28" s="426"/>
    </row>
    <row r="29" spans="1:4" x14ac:dyDescent="0.4">
      <c r="A29" s="335"/>
      <c r="B29" s="335"/>
      <c r="C29" s="419"/>
      <c r="D29" s="426"/>
    </row>
    <row r="30" spans="1:4" x14ac:dyDescent="0.4">
      <c r="A30" s="335"/>
      <c r="B30" s="335"/>
      <c r="C30" s="419"/>
      <c r="D30" s="426"/>
    </row>
    <row r="31" spans="1:4" x14ac:dyDescent="0.4">
      <c r="A31" s="335"/>
      <c r="B31" s="335"/>
      <c r="C31" s="419"/>
      <c r="D31" s="426"/>
    </row>
    <row r="32" spans="1:4" x14ac:dyDescent="0.4">
      <c r="A32" s="335"/>
      <c r="B32" s="335"/>
      <c r="C32" s="419"/>
      <c r="D32" s="426"/>
    </row>
    <row r="33" spans="1:4" x14ac:dyDescent="0.4">
      <c r="A33" s="335"/>
      <c r="B33" s="335"/>
      <c r="C33" s="419"/>
      <c r="D33" s="426"/>
    </row>
    <row r="34" spans="1:4" x14ac:dyDescent="0.4">
      <c r="A34" s="335"/>
      <c r="B34" s="335"/>
      <c r="C34" s="419"/>
      <c r="D34" s="426"/>
    </row>
    <row r="35" spans="1:4" x14ac:dyDescent="0.4">
      <c r="A35" s="335"/>
      <c r="B35" s="335"/>
      <c r="C35" s="419"/>
      <c r="D35" s="426"/>
    </row>
    <row r="36" spans="1:4" x14ac:dyDescent="0.4">
      <c r="A36" s="335"/>
      <c r="B36" s="335"/>
      <c r="C36" s="419"/>
      <c r="D36" s="426"/>
    </row>
    <row r="37" spans="1:4" ht="15" thickBot="1" x14ac:dyDescent="0.45">
      <c r="A37" s="316"/>
      <c r="B37" s="316"/>
      <c r="C37" s="420"/>
      <c r="D37" s="427"/>
    </row>
    <row r="38" spans="1:4" ht="14.5" customHeight="1" x14ac:dyDescent="0.4">
      <c r="A38" s="334"/>
      <c r="B38" s="334"/>
      <c r="C38" s="419" t="s">
        <v>845</v>
      </c>
      <c r="D38" s="426" t="s">
        <v>846</v>
      </c>
    </row>
    <row r="39" spans="1:4" x14ac:dyDescent="0.4">
      <c r="A39" s="334"/>
      <c r="B39" s="334"/>
      <c r="C39" s="419"/>
      <c r="D39" s="426"/>
    </row>
    <row r="40" spans="1:4" x14ac:dyDescent="0.4">
      <c r="A40" s="334"/>
      <c r="B40" s="334"/>
      <c r="C40" s="419"/>
      <c r="D40" s="426"/>
    </row>
    <row r="41" spans="1:4" x14ac:dyDescent="0.4">
      <c r="A41" s="334"/>
      <c r="B41" s="334"/>
      <c r="C41" s="419"/>
      <c r="D41" s="426"/>
    </row>
    <row r="42" spans="1:4" x14ac:dyDescent="0.4">
      <c r="A42" s="334"/>
      <c r="B42" s="334"/>
      <c r="C42" s="419"/>
      <c r="D42" s="426"/>
    </row>
    <row r="43" spans="1:4" x14ac:dyDescent="0.4">
      <c r="A43" s="334"/>
      <c r="B43" s="334"/>
      <c r="C43" s="419"/>
      <c r="D43" s="426"/>
    </row>
    <row r="44" spans="1:4" x14ac:dyDescent="0.4">
      <c r="A44" s="334"/>
      <c r="B44" s="334"/>
      <c r="C44" s="419"/>
      <c r="D44" s="426"/>
    </row>
    <row r="45" spans="1:4" x14ac:dyDescent="0.4">
      <c r="A45" s="334"/>
      <c r="B45" s="334"/>
      <c r="C45" s="419"/>
      <c r="D45" s="426"/>
    </row>
    <row r="46" spans="1:4" x14ac:dyDescent="0.4">
      <c r="A46" s="334"/>
      <c r="B46" s="334"/>
      <c r="C46" s="419"/>
      <c r="D46" s="426"/>
    </row>
    <row r="47" spans="1:4" x14ac:dyDescent="0.4">
      <c r="A47" s="334"/>
      <c r="B47" s="334"/>
      <c r="C47" s="419"/>
      <c r="D47" s="426"/>
    </row>
    <row r="48" spans="1:4" x14ac:dyDescent="0.4">
      <c r="A48" s="334"/>
      <c r="B48" s="334"/>
      <c r="C48" s="419"/>
      <c r="D48" s="426"/>
    </row>
    <row r="49" spans="1:4" x14ac:dyDescent="0.4">
      <c r="A49" s="334"/>
      <c r="B49" s="334"/>
      <c r="C49" s="419"/>
      <c r="D49" s="426"/>
    </row>
    <row r="50" spans="1:4" x14ac:dyDescent="0.4">
      <c r="A50" s="334"/>
      <c r="B50" s="334"/>
      <c r="C50" s="419"/>
      <c r="D50" s="426"/>
    </row>
    <row r="51" spans="1:4" x14ac:dyDescent="0.4">
      <c r="A51" s="334"/>
      <c r="B51" s="334"/>
      <c r="C51" s="419"/>
      <c r="D51" s="426"/>
    </row>
    <row r="52" spans="1:4" x14ac:dyDescent="0.4">
      <c r="A52" s="334"/>
      <c r="B52" s="334"/>
      <c r="C52" s="419"/>
      <c r="D52" s="426"/>
    </row>
    <row r="53" spans="1:4" x14ac:dyDescent="0.4">
      <c r="A53" s="334"/>
      <c r="B53" s="334"/>
      <c r="C53" s="419"/>
      <c r="D53" s="426"/>
    </row>
    <row r="54" spans="1:4" x14ac:dyDescent="0.4">
      <c r="A54" s="334"/>
      <c r="B54" s="334"/>
      <c r="C54" s="419"/>
      <c r="D54" s="426"/>
    </row>
    <row r="55" spans="1:4" x14ac:dyDescent="0.4">
      <c r="A55" s="334"/>
      <c r="B55" s="334"/>
      <c r="C55" s="419"/>
      <c r="D55" s="426"/>
    </row>
    <row r="56" spans="1:4" x14ac:dyDescent="0.4">
      <c r="A56" s="334"/>
      <c r="B56" s="334"/>
      <c r="C56" s="419"/>
      <c r="D56" s="426"/>
    </row>
    <row r="57" spans="1:4" ht="15" thickBot="1" x14ac:dyDescent="0.45">
      <c r="A57" s="317"/>
      <c r="B57" s="317"/>
      <c r="C57" s="420"/>
      <c r="D57" s="427"/>
    </row>
    <row r="58" spans="1:4" x14ac:dyDescent="0.4">
      <c r="A58" s="336"/>
      <c r="B58" s="336"/>
      <c r="C58" s="419" t="s">
        <v>847</v>
      </c>
      <c r="D58" s="426" t="s">
        <v>848</v>
      </c>
    </row>
    <row r="59" spans="1:4" x14ac:dyDescent="0.4">
      <c r="A59" s="336"/>
      <c r="B59" s="336"/>
      <c r="C59" s="419"/>
      <c r="D59" s="426"/>
    </row>
    <row r="60" spans="1:4" x14ac:dyDescent="0.4">
      <c r="A60" s="336"/>
      <c r="B60" s="336"/>
      <c r="C60" s="419"/>
      <c r="D60" s="426"/>
    </row>
    <row r="61" spans="1:4" x14ac:dyDescent="0.4">
      <c r="A61" s="336"/>
      <c r="B61" s="336"/>
      <c r="C61" s="419"/>
      <c r="D61" s="426"/>
    </row>
    <row r="62" spans="1:4" x14ac:dyDescent="0.4">
      <c r="A62" s="336"/>
      <c r="B62" s="336"/>
      <c r="C62" s="419"/>
      <c r="D62" s="426"/>
    </row>
    <row r="63" spans="1:4" x14ac:dyDescent="0.4">
      <c r="A63" s="336"/>
      <c r="B63" s="336"/>
      <c r="C63" s="419"/>
      <c r="D63" s="426"/>
    </row>
    <row r="64" spans="1:4" x14ac:dyDescent="0.4">
      <c r="A64" s="336"/>
      <c r="B64" s="336"/>
      <c r="C64" s="419"/>
      <c r="D64" s="426"/>
    </row>
    <row r="65" spans="1:4" x14ac:dyDescent="0.4">
      <c r="A65" s="336"/>
      <c r="B65" s="336"/>
      <c r="C65" s="419"/>
      <c r="D65" s="426"/>
    </row>
    <row r="66" spans="1:4" x14ac:dyDescent="0.4">
      <c r="A66" s="336"/>
      <c r="B66" s="336"/>
      <c r="C66" s="419"/>
      <c r="D66" s="426"/>
    </row>
    <row r="67" spans="1:4" x14ac:dyDescent="0.4">
      <c r="A67" s="336"/>
      <c r="B67" s="336"/>
      <c r="C67" s="419"/>
      <c r="D67" s="426"/>
    </row>
    <row r="68" spans="1:4" x14ac:dyDescent="0.4">
      <c r="A68" s="336"/>
      <c r="B68" s="336"/>
      <c r="C68" s="419"/>
      <c r="D68" s="426"/>
    </row>
    <row r="69" spans="1:4" x14ac:dyDescent="0.4">
      <c r="A69" s="336"/>
      <c r="B69" s="336"/>
      <c r="C69" s="419"/>
      <c r="D69" s="426"/>
    </row>
    <row r="70" spans="1:4" x14ac:dyDescent="0.4">
      <c r="A70" s="336"/>
      <c r="B70" s="336"/>
      <c r="C70" s="419"/>
      <c r="D70" s="426"/>
    </row>
    <row r="71" spans="1:4" x14ac:dyDescent="0.4">
      <c r="A71" s="336"/>
      <c r="B71" s="336"/>
      <c r="C71" s="419"/>
      <c r="D71" s="426"/>
    </row>
    <row r="72" spans="1:4" ht="15" thickBot="1" x14ac:dyDescent="0.45">
      <c r="A72" s="318"/>
      <c r="B72" s="318"/>
      <c r="C72" s="420"/>
      <c r="D72" s="427"/>
    </row>
    <row r="73" spans="1:4" x14ac:dyDescent="0.4">
      <c r="A73" s="338"/>
      <c r="B73" s="338"/>
      <c r="C73" s="419" t="s">
        <v>849</v>
      </c>
      <c r="D73" s="426" t="s">
        <v>850</v>
      </c>
    </row>
    <row r="74" spans="1:4" x14ac:dyDescent="0.4">
      <c r="A74" s="338"/>
      <c r="B74" s="338"/>
      <c r="C74" s="419"/>
      <c r="D74" s="426"/>
    </row>
    <row r="75" spans="1:4" x14ac:dyDescent="0.4">
      <c r="A75" s="338"/>
      <c r="B75" s="338"/>
      <c r="C75" s="419"/>
      <c r="D75" s="426"/>
    </row>
    <row r="76" spans="1:4" x14ac:dyDescent="0.4">
      <c r="A76" s="338"/>
      <c r="B76" s="338"/>
      <c r="C76" s="419"/>
      <c r="D76" s="426"/>
    </row>
    <row r="77" spans="1:4" x14ac:dyDescent="0.4">
      <c r="A77" s="338"/>
      <c r="B77" s="338"/>
      <c r="C77" s="419"/>
      <c r="D77" s="426"/>
    </row>
    <row r="78" spans="1:4" x14ac:dyDescent="0.4">
      <c r="A78" s="338"/>
      <c r="B78" s="338"/>
      <c r="C78" s="419"/>
      <c r="D78" s="426"/>
    </row>
    <row r="79" spans="1:4" x14ac:dyDescent="0.4">
      <c r="A79" s="338"/>
      <c r="B79" s="338"/>
      <c r="C79" s="419"/>
      <c r="D79" s="426"/>
    </row>
    <row r="80" spans="1:4" x14ac:dyDescent="0.4">
      <c r="A80" s="338"/>
      <c r="B80" s="338"/>
      <c r="C80" s="419"/>
      <c r="D80" s="426"/>
    </row>
    <row r="81" spans="1:4" x14ac:dyDescent="0.4">
      <c r="A81" s="338"/>
      <c r="B81" s="338"/>
      <c r="C81" s="419"/>
      <c r="D81" s="426"/>
    </row>
    <row r="82" spans="1:4" x14ac:dyDescent="0.4">
      <c r="A82" s="338"/>
      <c r="B82" s="338"/>
      <c r="C82" s="419"/>
      <c r="D82" s="426"/>
    </row>
    <row r="83" spans="1:4" x14ac:dyDescent="0.4">
      <c r="A83" s="338"/>
      <c r="B83" s="338"/>
      <c r="C83" s="419"/>
      <c r="D83" s="426"/>
    </row>
    <row r="84" spans="1:4" x14ac:dyDescent="0.4">
      <c r="A84" s="338"/>
      <c r="B84" s="338"/>
      <c r="C84" s="419"/>
      <c r="D84" s="426"/>
    </row>
    <row r="85" spans="1:4" x14ac:dyDescent="0.4">
      <c r="A85" s="338"/>
      <c r="B85" s="338"/>
      <c r="C85" s="419"/>
      <c r="D85" s="426"/>
    </row>
    <row r="86" spans="1:4" x14ac:dyDescent="0.4">
      <c r="A86" s="338"/>
      <c r="B86" s="338"/>
      <c r="C86" s="419"/>
      <c r="D86" s="426"/>
    </row>
    <row r="87" spans="1:4" x14ac:dyDescent="0.4">
      <c r="A87" s="338"/>
      <c r="B87" s="338"/>
      <c r="C87" s="419"/>
      <c r="D87" s="426"/>
    </row>
    <row r="88" spans="1:4" x14ac:dyDescent="0.4">
      <c r="A88" s="338"/>
      <c r="B88" s="338"/>
      <c r="C88" s="419"/>
      <c r="D88" s="426"/>
    </row>
    <row r="89" spans="1:4" ht="15" thickBot="1" x14ac:dyDescent="0.45">
      <c r="A89" s="319"/>
      <c r="B89" s="319"/>
      <c r="C89" s="420"/>
      <c r="D89" s="427"/>
    </row>
    <row r="90" spans="1:4" x14ac:dyDescent="0.4">
      <c r="A90" s="337"/>
      <c r="B90" s="337"/>
      <c r="C90" s="419" t="s">
        <v>851</v>
      </c>
      <c r="D90" s="426" t="s">
        <v>852</v>
      </c>
    </row>
    <row r="91" spans="1:4" x14ac:dyDescent="0.4">
      <c r="A91" s="337"/>
      <c r="B91" s="337"/>
      <c r="C91" s="419"/>
      <c r="D91" s="426"/>
    </row>
    <row r="92" spans="1:4" x14ac:dyDescent="0.4">
      <c r="A92" s="337"/>
      <c r="B92" s="337"/>
      <c r="C92" s="419"/>
      <c r="D92" s="426"/>
    </row>
    <row r="93" spans="1:4" x14ac:dyDescent="0.4">
      <c r="A93" s="337"/>
      <c r="B93" s="337"/>
      <c r="C93" s="419"/>
      <c r="D93" s="426"/>
    </row>
    <row r="94" spans="1:4" x14ac:dyDescent="0.4">
      <c r="A94" s="337"/>
      <c r="B94" s="337"/>
      <c r="C94" s="419"/>
      <c r="D94" s="426"/>
    </row>
    <row r="95" spans="1:4" x14ac:dyDescent="0.4">
      <c r="A95" s="337"/>
      <c r="B95" s="337"/>
      <c r="C95" s="419"/>
      <c r="D95" s="426"/>
    </row>
    <row r="96" spans="1:4" x14ac:dyDescent="0.4">
      <c r="A96" s="337"/>
      <c r="B96" s="337"/>
      <c r="C96" s="419"/>
      <c r="D96" s="426"/>
    </row>
    <row r="97" spans="1:4" x14ac:dyDescent="0.4">
      <c r="A97" s="337"/>
      <c r="B97" s="337"/>
      <c r="C97" s="419"/>
      <c r="D97" s="426"/>
    </row>
    <row r="98" spans="1:4" ht="15" thickBot="1" x14ac:dyDescent="0.45">
      <c r="A98" s="320"/>
      <c r="B98" s="320"/>
      <c r="C98" s="420"/>
      <c r="D98" s="427"/>
    </row>
    <row r="99" spans="1:4" ht="14.5" customHeight="1" x14ac:dyDescent="0.4">
      <c r="A99" s="339"/>
      <c r="B99" s="339"/>
      <c r="C99" s="422" t="s">
        <v>853</v>
      </c>
      <c r="D99" s="426" t="s">
        <v>854</v>
      </c>
    </row>
    <row r="100" spans="1:4" x14ac:dyDescent="0.4">
      <c r="A100" s="339"/>
      <c r="B100" s="339"/>
      <c r="C100" s="422"/>
      <c r="D100" s="426"/>
    </row>
    <row r="101" spans="1:4" x14ac:dyDescent="0.4">
      <c r="A101" s="339"/>
      <c r="B101" s="339"/>
      <c r="C101" s="422"/>
      <c r="D101" s="426"/>
    </row>
    <row r="102" spans="1:4" x14ac:dyDescent="0.4">
      <c r="A102" s="339"/>
      <c r="B102" s="339"/>
      <c r="C102" s="422"/>
      <c r="D102" s="426"/>
    </row>
    <row r="103" spans="1:4" x14ac:dyDescent="0.4">
      <c r="A103" s="339"/>
      <c r="B103" s="339"/>
      <c r="C103" s="422"/>
      <c r="D103" s="426"/>
    </row>
    <row r="104" spans="1:4" x14ac:dyDescent="0.4">
      <c r="A104" s="339"/>
      <c r="B104" s="339"/>
      <c r="C104" s="422"/>
      <c r="D104" s="426"/>
    </row>
    <row r="105" spans="1:4" x14ac:dyDescent="0.4">
      <c r="A105" s="339"/>
      <c r="B105" s="339"/>
      <c r="C105" s="422"/>
      <c r="D105" s="426"/>
    </row>
    <row r="106" spans="1:4" x14ac:dyDescent="0.4">
      <c r="A106" s="339"/>
      <c r="B106" s="339"/>
      <c r="C106" s="422"/>
      <c r="D106" s="426"/>
    </row>
    <row r="107" spans="1:4" x14ac:dyDescent="0.4">
      <c r="A107" s="339"/>
      <c r="B107" s="339"/>
      <c r="C107" s="422"/>
      <c r="D107" s="426"/>
    </row>
    <row r="108" spans="1:4" x14ac:dyDescent="0.4">
      <c r="A108" s="339"/>
      <c r="B108" s="339"/>
      <c r="C108" s="422"/>
      <c r="D108" s="426"/>
    </row>
    <row r="109" spans="1:4" x14ac:dyDescent="0.4">
      <c r="A109" s="339"/>
      <c r="B109" s="339"/>
      <c r="C109" s="422"/>
      <c r="D109" s="426"/>
    </row>
    <row r="110" spans="1:4" x14ac:dyDescent="0.4">
      <c r="A110" s="339"/>
      <c r="B110" s="339"/>
      <c r="C110" s="422"/>
      <c r="D110" s="426"/>
    </row>
    <row r="111" spans="1:4" ht="15" thickBot="1" x14ac:dyDescent="0.45">
      <c r="A111" s="321"/>
      <c r="B111" s="321"/>
      <c r="C111" s="423"/>
      <c r="D111" s="427"/>
    </row>
    <row r="112" spans="1:4" x14ac:dyDescent="0.4">
      <c r="A112" s="335"/>
      <c r="B112" s="335"/>
      <c r="C112" s="419" t="s">
        <v>855</v>
      </c>
      <c r="D112" s="426" t="s">
        <v>856</v>
      </c>
    </row>
    <row r="113" spans="1:4" x14ac:dyDescent="0.4">
      <c r="A113" s="335"/>
      <c r="B113" s="335"/>
      <c r="C113" s="419"/>
      <c r="D113" s="426"/>
    </row>
    <row r="114" spans="1:4" x14ac:dyDescent="0.4">
      <c r="A114" s="335"/>
      <c r="B114" s="335"/>
      <c r="C114" s="419"/>
      <c r="D114" s="426"/>
    </row>
    <row r="115" spans="1:4" x14ac:dyDescent="0.4">
      <c r="A115" s="335"/>
      <c r="B115" s="335"/>
      <c r="C115" s="419"/>
      <c r="D115" s="426"/>
    </row>
    <row r="116" spans="1:4" x14ac:dyDescent="0.4">
      <c r="A116" s="335"/>
      <c r="B116" s="335"/>
      <c r="C116" s="419"/>
      <c r="D116" s="426"/>
    </row>
    <row r="117" spans="1:4" x14ac:dyDescent="0.4">
      <c r="A117" s="335"/>
      <c r="B117" s="335"/>
      <c r="C117" s="419"/>
      <c r="D117" s="426"/>
    </row>
    <row r="118" spans="1:4" x14ac:dyDescent="0.4">
      <c r="A118" s="335"/>
      <c r="B118" s="335"/>
      <c r="C118" s="419"/>
      <c r="D118" s="426"/>
    </row>
    <row r="119" spans="1:4" x14ac:dyDescent="0.4">
      <c r="A119" s="335"/>
      <c r="B119" s="335"/>
      <c r="C119" s="419"/>
      <c r="D119" s="426"/>
    </row>
    <row r="120" spans="1:4" x14ac:dyDescent="0.4">
      <c r="A120" s="335"/>
      <c r="B120" s="335"/>
      <c r="C120" s="419"/>
      <c r="D120" s="426"/>
    </row>
    <row r="121" spans="1:4" x14ac:dyDescent="0.4">
      <c r="A121" s="335"/>
      <c r="B121" s="335"/>
      <c r="C121" s="419"/>
      <c r="D121" s="426"/>
    </row>
    <row r="122" spans="1:4" x14ac:dyDescent="0.4">
      <c r="A122" s="335"/>
      <c r="B122" s="335"/>
      <c r="C122" s="419"/>
      <c r="D122" s="426"/>
    </row>
    <row r="123" spans="1:4" ht="15" thickBot="1" x14ac:dyDescent="0.45">
      <c r="A123" s="316"/>
      <c r="B123" s="316"/>
      <c r="C123" s="420"/>
      <c r="D123" s="427"/>
    </row>
    <row r="124" spans="1:4" x14ac:dyDescent="0.4">
      <c r="A124" s="334"/>
      <c r="B124" s="334"/>
      <c r="C124" s="419" t="s">
        <v>857</v>
      </c>
      <c r="D124" s="426" t="s">
        <v>858</v>
      </c>
    </row>
    <row r="125" spans="1:4" x14ac:dyDescent="0.4">
      <c r="A125" s="334"/>
      <c r="B125" s="334"/>
      <c r="C125" s="419"/>
      <c r="D125" s="426"/>
    </row>
    <row r="126" spans="1:4" x14ac:dyDescent="0.4">
      <c r="A126" s="334"/>
      <c r="B126" s="334"/>
      <c r="C126" s="419"/>
      <c r="D126" s="426"/>
    </row>
    <row r="127" spans="1:4" x14ac:dyDescent="0.4">
      <c r="A127" s="334"/>
      <c r="B127" s="334"/>
      <c r="C127" s="419"/>
      <c r="D127" s="426"/>
    </row>
    <row r="128" spans="1:4" x14ac:dyDescent="0.4">
      <c r="A128" s="334"/>
      <c r="B128" s="334"/>
      <c r="C128" s="419"/>
      <c r="D128" s="426"/>
    </row>
    <row r="129" spans="1:4" ht="15" thickBot="1" x14ac:dyDescent="0.45">
      <c r="A129" s="317"/>
      <c r="B129" s="317"/>
      <c r="C129" s="420"/>
      <c r="D129" s="427"/>
    </row>
    <row r="130" spans="1:4" ht="14.5" customHeight="1" x14ac:dyDescent="0.4">
      <c r="A130" s="33"/>
      <c r="B130" s="33"/>
      <c r="C130" s="419" t="s">
        <v>859</v>
      </c>
      <c r="D130" s="426" t="s">
        <v>860</v>
      </c>
    </row>
    <row r="131" spans="1:4" x14ac:dyDescent="0.4">
      <c r="A131" s="33"/>
      <c r="B131" s="33"/>
      <c r="C131" s="419"/>
      <c r="D131" s="426"/>
    </row>
    <row r="132" spans="1:4" x14ac:dyDescent="0.4">
      <c r="A132" s="33"/>
      <c r="B132" s="33"/>
      <c r="C132" s="419"/>
      <c r="D132" s="426"/>
    </row>
    <row r="133" spans="1:4" ht="15" thickBot="1" x14ac:dyDescent="0.45">
      <c r="A133" s="322"/>
      <c r="B133" s="322"/>
      <c r="C133" s="420"/>
      <c r="D133" s="427"/>
    </row>
    <row r="134" spans="1:4" x14ac:dyDescent="0.4">
      <c r="A134" s="338"/>
      <c r="B134" s="338"/>
      <c r="C134" s="419" t="s">
        <v>861</v>
      </c>
      <c r="D134" s="426" t="s">
        <v>862</v>
      </c>
    </row>
    <row r="135" spans="1:4" x14ac:dyDescent="0.4">
      <c r="A135" s="338"/>
      <c r="B135" s="338"/>
      <c r="C135" s="419"/>
      <c r="D135" s="426"/>
    </row>
    <row r="136" spans="1:4" x14ac:dyDescent="0.4">
      <c r="A136" s="338"/>
      <c r="B136" s="338"/>
      <c r="C136" s="419"/>
      <c r="D136" s="426"/>
    </row>
    <row r="137" spans="1:4" x14ac:dyDescent="0.4">
      <c r="A137" s="338"/>
      <c r="B137" s="338"/>
      <c r="C137" s="419"/>
      <c r="D137" s="426"/>
    </row>
    <row r="138" spans="1:4" x14ac:dyDescent="0.4">
      <c r="A138" s="338"/>
      <c r="B138" s="338"/>
      <c r="C138" s="419"/>
      <c r="D138" s="426"/>
    </row>
    <row r="139" spans="1:4" x14ac:dyDescent="0.4">
      <c r="A139" s="338"/>
      <c r="B139" s="338"/>
      <c r="C139" s="419"/>
      <c r="D139" s="426"/>
    </row>
    <row r="140" spans="1:4" x14ac:dyDescent="0.4">
      <c r="A140" s="338"/>
      <c r="B140" s="338"/>
      <c r="C140" s="419"/>
      <c r="D140" s="426"/>
    </row>
    <row r="141" spans="1:4" x14ac:dyDescent="0.4">
      <c r="A141" s="338"/>
      <c r="B141" s="338"/>
      <c r="C141" s="419"/>
      <c r="D141" s="426"/>
    </row>
    <row r="142" spans="1:4" x14ac:dyDescent="0.4">
      <c r="A142" s="338"/>
      <c r="B142" s="338"/>
      <c r="C142" s="419"/>
      <c r="D142" s="426"/>
    </row>
    <row r="143" spans="1:4" x14ac:dyDescent="0.4">
      <c r="A143" s="338"/>
      <c r="B143" s="338"/>
      <c r="C143" s="419"/>
      <c r="D143" s="426"/>
    </row>
    <row r="144" spans="1:4" x14ac:dyDescent="0.4">
      <c r="A144" s="338"/>
      <c r="B144" s="338"/>
      <c r="C144" s="419"/>
      <c r="D144" s="426"/>
    </row>
    <row r="145" spans="1:4" x14ac:dyDescent="0.4">
      <c r="A145" s="338"/>
      <c r="B145" s="338"/>
      <c r="C145" s="419"/>
      <c r="D145" s="426"/>
    </row>
    <row r="146" spans="1:4" x14ac:dyDescent="0.4">
      <c r="A146" s="338"/>
      <c r="B146" s="338"/>
      <c r="C146" s="419"/>
      <c r="D146" s="426"/>
    </row>
    <row r="147" spans="1:4" x14ac:dyDescent="0.4">
      <c r="A147" s="338"/>
      <c r="B147" s="338"/>
      <c r="C147" s="419"/>
      <c r="D147" s="426"/>
    </row>
    <row r="148" spans="1:4" x14ac:dyDescent="0.4">
      <c r="A148" s="338"/>
      <c r="B148" s="338"/>
      <c r="C148" s="419"/>
      <c r="D148" s="426"/>
    </row>
    <row r="149" spans="1:4" x14ac:dyDescent="0.4">
      <c r="A149" s="338"/>
      <c r="B149" s="338"/>
      <c r="C149" s="419"/>
      <c r="D149" s="426"/>
    </row>
    <row r="150" spans="1:4" ht="15" customHeight="1" x14ac:dyDescent="0.4">
      <c r="A150" s="338"/>
      <c r="B150" s="338"/>
      <c r="C150" s="419"/>
      <c r="D150" s="426"/>
    </row>
    <row r="151" spans="1:4" ht="15" customHeight="1" thickBot="1" x14ac:dyDescent="0.45">
      <c r="A151" s="319"/>
      <c r="B151" s="319"/>
      <c r="C151" s="420"/>
      <c r="D151" s="427"/>
    </row>
    <row r="152" spans="1:4" ht="15" customHeight="1" x14ac:dyDescent="0.4">
      <c r="A152" s="340"/>
      <c r="B152" s="340"/>
      <c r="C152" s="419" t="s">
        <v>863</v>
      </c>
      <c r="D152" s="426" t="s">
        <v>864</v>
      </c>
    </row>
    <row r="153" spans="1:4" ht="15" customHeight="1" x14ac:dyDescent="0.4">
      <c r="A153" s="340"/>
      <c r="B153" s="340"/>
      <c r="C153" s="419"/>
      <c r="D153" s="426"/>
    </row>
    <row r="154" spans="1:4" ht="15" customHeight="1" x14ac:dyDescent="0.4">
      <c r="A154" s="340"/>
      <c r="B154" s="340"/>
      <c r="C154" s="419"/>
      <c r="D154" s="426"/>
    </row>
    <row r="155" spans="1:4" ht="15" customHeight="1" thickBot="1" x14ac:dyDescent="0.45">
      <c r="A155" s="323"/>
      <c r="B155" s="323"/>
      <c r="C155" s="420"/>
      <c r="D155" s="427"/>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56" activePane="bottomLeft" state="frozen"/>
      <selection pane="bottomLeft"/>
    </sheetView>
  </sheetViews>
  <sheetFormatPr defaultRowHeight="14.6" x14ac:dyDescent="0.4"/>
  <cols>
    <col min="2" max="2" width="39.69140625" customWidth="1"/>
    <col min="3" max="3" width="39.69140625" style="11" customWidth="1"/>
    <col min="4" max="4" width="127.69140625" style="144" customWidth="1"/>
  </cols>
  <sheetData>
    <row r="1" spans="1:4" ht="15" thickBot="1" x14ac:dyDescent="0.45">
      <c r="A1" s="329" t="s">
        <v>89</v>
      </c>
      <c r="B1" s="314" t="s">
        <v>92</v>
      </c>
      <c r="C1" s="342" t="s">
        <v>478</v>
      </c>
      <c r="D1" s="343" t="s">
        <v>0</v>
      </c>
    </row>
    <row r="2" spans="1:4" ht="15" thickBot="1" x14ac:dyDescent="0.45">
      <c r="A2" s="128">
        <v>4001</v>
      </c>
      <c r="B2" s="205" t="str">
        <f>'Custom cases'!D3</f>
        <v>Custom_RfG_MaxFacilityCurrent</v>
      </c>
      <c r="C2" s="142" t="s">
        <v>506</v>
      </c>
      <c r="D2" s="190" t="s">
        <v>534</v>
      </c>
    </row>
    <row r="3" spans="1:4" x14ac:dyDescent="0.4">
      <c r="A3" s="217">
        <v>4002</v>
      </c>
      <c r="B3" s="218" t="str">
        <f>'Custom cases'!D4</f>
        <v>Custom_RfG_Fault_3_FRTtrig_001pu</v>
      </c>
      <c r="C3" s="418" t="s">
        <v>508</v>
      </c>
      <c r="D3" s="203" t="s">
        <v>10</v>
      </c>
    </row>
    <row r="4" spans="1:4" x14ac:dyDescent="0.4">
      <c r="A4" s="217">
        <v>4003</v>
      </c>
      <c r="B4" s="218" t="str">
        <f>'Custom cases'!D5</f>
        <v>Custom_RfG_Fault_3_FRTtrig_001pu</v>
      </c>
      <c r="C4" s="419"/>
      <c r="D4" s="203" t="s">
        <v>10</v>
      </c>
    </row>
    <row r="5" spans="1:4" ht="43.75" x14ac:dyDescent="0.4">
      <c r="A5" s="217">
        <v>4004</v>
      </c>
      <c r="B5" s="218" t="str">
        <f>'Custom cases'!D6</f>
        <v>Custom_RfG_Fault_3_FRTtrig_001pu</v>
      </c>
      <c r="C5" s="419"/>
      <c r="D5" s="139" t="s">
        <v>510</v>
      </c>
    </row>
    <row r="6" spans="1:4" x14ac:dyDescent="0.4">
      <c r="A6" s="217">
        <v>4005</v>
      </c>
      <c r="B6" s="218" t="str">
        <f>'Custom cases'!D7</f>
        <v>Custom_RfG_Fault_3_FRTtrig_001pu</v>
      </c>
      <c r="C6" s="419"/>
      <c r="D6" s="203" t="s">
        <v>10</v>
      </c>
    </row>
    <row r="7" spans="1:4" x14ac:dyDescent="0.4">
      <c r="A7" s="217">
        <v>4006</v>
      </c>
      <c r="B7" s="218" t="str">
        <f>'Custom cases'!D8</f>
        <v>Custom_RfG_Fault_3_FRTtrig_001pu</v>
      </c>
      <c r="C7" s="419"/>
      <c r="D7" s="203" t="s">
        <v>10</v>
      </c>
    </row>
    <row r="8" spans="1:4" x14ac:dyDescent="0.4">
      <c r="A8" s="217">
        <v>4007</v>
      </c>
      <c r="B8" s="218" t="str">
        <f>'Custom cases'!D9</f>
        <v>Custom_RfG_Fault_3_FRTtrig_001pu</v>
      </c>
      <c r="C8" s="419"/>
      <c r="D8" s="203" t="s">
        <v>10</v>
      </c>
    </row>
    <row r="9" spans="1:4" x14ac:dyDescent="0.4">
      <c r="A9" s="217">
        <v>4008</v>
      </c>
      <c r="B9" s="218" t="str">
        <f>'Custom cases'!D10</f>
        <v>Custom_RfG_Fault_3_FRTtrig_001pu</v>
      </c>
      <c r="C9" s="419"/>
      <c r="D9" s="203" t="s">
        <v>10</v>
      </c>
    </row>
    <row r="10" spans="1:4" x14ac:dyDescent="0.4">
      <c r="A10" s="217">
        <v>4009</v>
      </c>
      <c r="B10" s="218" t="str">
        <f>'Custom cases'!D11</f>
        <v>Custom_RfG_Fault_3_FRTtrig_001pu</v>
      </c>
      <c r="C10" s="419"/>
      <c r="D10" s="203" t="s">
        <v>10</v>
      </c>
    </row>
    <row r="11" spans="1:4" x14ac:dyDescent="0.4">
      <c r="A11" s="217">
        <v>4010</v>
      </c>
      <c r="B11" s="218" t="str">
        <f>'Custom cases'!D12</f>
        <v>Custom_RfG_Fault_3_FRTtrig_001pu</v>
      </c>
      <c r="C11" s="419"/>
      <c r="D11" s="203" t="s">
        <v>10</v>
      </c>
    </row>
    <row r="12" spans="1:4" ht="15" thickBot="1" x14ac:dyDescent="0.45">
      <c r="A12" s="219">
        <v>4011</v>
      </c>
      <c r="B12" s="220" t="str">
        <f>'Custom cases'!D13</f>
        <v>Custom_RfG_Fault_3_FRTtrig_001pu</v>
      </c>
      <c r="C12" s="420"/>
      <c r="D12" s="204" t="s">
        <v>10</v>
      </c>
    </row>
    <row r="13" spans="1:4" x14ac:dyDescent="0.4">
      <c r="A13" s="193">
        <v>4012</v>
      </c>
      <c r="B13" s="209" t="str">
        <f>'Custom cases'!D14</f>
        <v>Custom_RfG_LVRT_FRTexit_001pu</v>
      </c>
      <c r="C13" s="418" t="s">
        <v>507</v>
      </c>
      <c r="D13" s="203" t="s">
        <v>10</v>
      </c>
    </row>
    <row r="14" spans="1:4" ht="29.15" x14ac:dyDescent="0.4">
      <c r="A14" s="193">
        <v>4013</v>
      </c>
      <c r="B14" s="209" t="str">
        <f>'Custom cases'!D15</f>
        <v>Custom_RfG_LVRT_FRTexit_001pu</v>
      </c>
      <c r="C14" s="419"/>
      <c r="D14" s="139" t="s">
        <v>509</v>
      </c>
    </row>
    <row r="15" spans="1:4" x14ac:dyDescent="0.4">
      <c r="A15" s="193">
        <v>4014</v>
      </c>
      <c r="B15" s="209" t="str">
        <f>'Custom cases'!D16</f>
        <v>Custom_RfG_LVRT_FRTexit_001pu</v>
      </c>
      <c r="C15" s="419"/>
      <c r="D15" s="203" t="s">
        <v>10</v>
      </c>
    </row>
    <row r="16" spans="1:4" x14ac:dyDescent="0.4">
      <c r="A16" s="193">
        <v>4015</v>
      </c>
      <c r="B16" s="209" t="str">
        <f>'Custom cases'!D17</f>
        <v>Custom_RfG_LVRT_FRTexit_001pu</v>
      </c>
      <c r="C16" s="419"/>
      <c r="D16" s="203" t="s">
        <v>10</v>
      </c>
    </row>
    <row r="17" spans="1:4" x14ac:dyDescent="0.4">
      <c r="A17" s="193">
        <v>4016</v>
      </c>
      <c r="B17" s="209" t="str">
        <f>'Custom cases'!D18</f>
        <v>Custom_RfG_LVRT_FRTexit_001pu</v>
      </c>
      <c r="C17" s="419"/>
      <c r="D17" s="203" t="s">
        <v>10</v>
      </c>
    </row>
    <row r="18" spans="1:4" ht="15" thickBot="1" x14ac:dyDescent="0.45">
      <c r="A18" s="202">
        <v>4017</v>
      </c>
      <c r="B18" s="210" t="str">
        <f>'Custom cases'!D19</f>
        <v>Custom_RfG_LVRT_FRTexit_001pu</v>
      </c>
      <c r="C18" s="420"/>
      <c r="D18" s="204" t="s">
        <v>10</v>
      </c>
    </row>
    <row r="19" spans="1:4" x14ac:dyDescent="0.4">
      <c r="A19" s="211">
        <v>4018</v>
      </c>
      <c r="B19" s="212" t="str">
        <f>'Custom cases'!D20</f>
        <v>Custom_RfG_Fault_3_MaxIQ_000pu</v>
      </c>
      <c r="C19" s="418" t="s">
        <v>536</v>
      </c>
      <c r="D19" s="203" t="s">
        <v>10</v>
      </c>
    </row>
    <row r="20" spans="1:4" x14ac:dyDescent="0.4">
      <c r="A20" s="211">
        <v>4019</v>
      </c>
      <c r="B20" s="212" t="str">
        <f>'Custom cases'!D21</f>
        <v>Custom_RfG_Fault_3_MaxIQ_000pu</v>
      </c>
      <c r="C20" s="419"/>
      <c r="D20" s="203" t="s">
        <v>10</v>
      </c>
    </row>
    <row r="21" spans="1:4" x14ac:dyDescent="0.4">
      <c r="A21" s="211">
        <v>4020</v>
      </c>
      <c r="B21" s="212" t="str">
        <f>'Custom cases'!D22</f>
        <v>Custom_RfG_Fault_3_MaxIQ_000pu</v>
      </c>
      <c r="C21" s="419"/>
      <c r="D21" s="203" t="s">
        <v>10</v>
      </c>
    </row>
    <row r="22" spans="1:4" x14ac:dyDescent="0.4">
      <c r="A22" s="211">
        <v>4021</v>
      </c>
      <c r="B22" s="212" t="str">
        <f>'Custom cases'!D23</f>
        <v>Custom_RfG_Fault_3_MaxIQ_000pu</v>
      </c>
      <c r="C22" s="419"/>
      <c r="D22" s="203" t="s">
        <v>10</v>
      </c>
    </row>
    <row r="23" spans="1:4" ht="58.3" x14ac:dyDescent="0.4">
      <c r="A23" s="211">
        <v>4022</v>
      </c>
      <c r="B23" s="212" t="str">
        <f>'Custom cases'!D24</f>
        <v>Custom_RfG_Fault_3_MaxIQ_000pu</v>
      </c>
      <c r="C23" s="419"/>
      <c r="D23" s="139" t="s">
        <v>537</v>
      </c>
    </row>
    <row r="24" spans="1:4" x14ac:dyDescent="0.4">
      <c r="A24" s="211">
        <v>4023</v>
      </c>
      <c r="B24" s="212" t="str">
        <f>'Custom cases'!D25</f>
        <v>Custom_RfG_Fault_3_MaxIQ_000pu</v>
      </c>
      <c r="C24" s="419"/>
      <c r="D24" s="203" t="s">
        <v>10</v>
      </c>
    </row>
    <row r="25" spans="1:4" x14ac:dyDescent="0.4">
      <c r="A25" s="211">
        <v>4024</v>
      </c>
      <c r="B25" s="212" t="str">
        <f>'Custom cases'!D26</f>
        <v>Custom_RfG_Fault_3_MaxIQ_000pu</v>
      </c>
      <c r="C25" s="419"/>
      <c r="D25" s="203" t="s">
        <v>10</v>
      </c>
    </row>
    <row r="26" spans="1:4" x14ac:dyDescent="0.4">
      <c r="A26" s="211">
        <v>4025</v>
      </c>
      <c r="B26" s="212" t="str">
        <f>'Custom cases'!D27</f>
        <v>Custom_RfG_Fault_3_MaxIQ_000pu</v>
      </c>
      <c r="C26" s="419"/>
      <c r="D26" s="203" t="s">
        <v>10</v>
      </c>
    </row>
    <row r="27" spans="1:4" x14ac:dyDescent="0.4">
      <c r="A27" s="211">
        <v>4026</v>
      </c>
      <c r="B27" s="212" t="str">
        <f>'Custom cases'!D28</f>
        <v>Custom_RfG_Fault_3_MaxIQ_000pu</v>
      </c>
      <c r="C27" s="419"/>
      <c r="D27" s="203" t="s">
        <v>10</v>
      </c>
    </row>
    <row r="28" spans="1:4" ht="15" thickBot="1" x14ac:dyDescent="0.45">
      <c r="A28" s="213">
        <v>4027</v>
      </c>
      <c r="B28" s="214" t="str">
        <f>'Custom cases'!D29</f>
        <v>Custom_RfG_Fault_3_MaxIQ_000pu</v>
      </c>
      <c r="C28" s="420"/>
      <c r="D28" s="204" t="s">
        <v>10</v>
      </c>
    </row>
    <row r="29" spans="1:4" x14ac:dyDescent="0.4">
      <c r="A29" s="193">
        <v>4028</v>
      </c>
      <c r="B29" s="209" t="str">
        <f>'Custom cases'!D30</f>
        <v>Custom_RfG_Fault_3_00pu_Plim_01pu</v>
      </c>
      <c r="C29" s="418" t="s">
        <v>511</v>
      </c>
      <c r="D29" s="139" t="s">
        <v>535</v>
      </c>
    </row>
    <row r="30" spans="1:4" x14ac:dyDescent="0.4">
      <c r="A30" s="193">
        <v>4029</v>
      </c>
      <c r="B30" s="209" t="str">
        <f>'Custom cases'!D31</f>
        <v>Custom_RfG_Fault_2_00pu_Plim_01pu</v>
      </c>
      <c r="C30" s="419"/>
      <c r="D30" s="203" t="s">
        <v>10</v>
      </c>
    </row>
    <row r="31" spans="1:4" x14ac:dyDescent="0.4">
      <c r="A31" s="193">
        <v>4030</v>
      </c>
      <c r="B31" s="209" t="str">
        <f>'Custom cases'!D32</f>
        <v>Custom_RfG_Fault_1_00pu_Plim_01pu</v>
      </c>
      <c r="C31" s="419"/>
      <c r="D31" s="203" t="s">
        <v>10</v>
      </c>
    </row>
    <row r="32" spans="1:4" x14ac:dyDescent="0.4">
      <c r="A32" s="193">
        <v>4031</v>
      </c>
      <c r="B32" s="209" t="str">
        <f>'Custom cases'!D33</f>
        <v>Custom_RfG_Fault_3_00pu_Plim_000pu</v>
      </c>
      <c r="C32" s="419"/>
      <c r="D32" s="139" t="s">
        <v>512</v>
      </c>
    </row>
    <row r="33" spans="1:4" x14ac:dyDescent="0.4">
      <c r="A33" s="193">
        <v>4032</v>
      </c>
      <c r="B33" s="209" t="str">
        <f>'Custom cases'!D34</f>
        <v>Custom_RfG_Fault_2_00pu_Plim_000pu</v>
      </c>
      <c r="C33" s="419"/>
      <c r="D33" s="203" t="s">
        <v>10</v>
      </c>
    </row>
    <row r="34" spans="1:4" ht="15" thickBot="1" x14ac:dyDescent="0.45">
      <c r="A34" s="202">
        <v>4033</v>
      </c>
      <c r="B34" s="210" t="str">
        <f>'Custom cases'!D35</f>
        <v>Custom_RfG_Fault_1_00pu_Plim_000pu</v>
      </c>
      <c r="C34" s="420"/>
      <c r="D34" s="204" t="s">
        <v>10</v>
      </c>
    </row>
    <row r="35" spans="1:4" x14ac:dyDescent="0.4">
      <c r="A35" s="138">
        <v>4034</v>
      </c>
      <c r="B35" s="215" t="str">
        <f>'Custom cases'!D36</f>
        <v>Custom_RfG_Ucontrol_Plim_001pu</v>
      </c>
      <c r="C35" s="418" t="s">
        <v>516</v>
      </c>
      <c r="D35" s="139" t="s">
        <v>514</v>
      </c>
    </row>
    <row r="36" spans="1:4" x14ac:dyDescent="0.4">
      <c r="A36" s="138">
        <v>4035</v>
      </c>
      <c r="B36" s="215" t="str">
        <f>'Custom cases'!D37</f>
        <v>Custom_RfG_Ucontrol_Plim_001pu</v>
      </c>
      <c r="C36" s="419"/>
      <c r="D36" s="139" t="s">
        <v>513</v>
      </c>
    </row>
    <row r="37" spans="1:4" ht="15" thickBot="1" x14ac:dyDescent="0.45">
      <c r="A37" s="178">
        <v>4036</v>
      </c>
      <c r="B37" s="216" t="str">
        <f>'Custom cases'!D38</f>
        <v>Custom_RfG_Ucontrol_Plim_000pu</v>
      </c>
      <c r="C37" s="420"/>
      <c r="D37" s="143" t="s">
        <v>515</v>
      </c>
    </row>
    <row r="38" spans="1:4" ht="15" customHeight="1" x14ac:dyDescent="0.4">
      <c r="A38" s="230">
        <v>4037</v>
      </c>
      <c r="B38" s="231" t="str">
        <f>'Custom cases'!D39</f>
        <v>Custom_Fault_3_000pu_U0_0.001pu</v>
      </c>
      <c r="C38" s="418" t="s">
        <v>526</v>
      </c>
      <c r="D38" s="146" t="s">
        <v>517</v>
      </c>
    </row>
    <row r="39" spans="1:4" x14ac:dyDescent="0.4">
      <c r="A39" s="232">
        <v>4038</v>
      </c>
      <c r="B39" s="233" t="str">
        <f>'Custom cases'!D40</f>
        <v>Custom_Fault_2_000pu_U0_0.001pu</v>
      </c>
      <c r="C39" s="419"/>
      <c r="D39" s="203" t="s">
        <v>10</v>
      </c>
    </row>
    <row r="40" spans="1:4" x14ac:dyDescent="0.4">
      <c r="A40" s="232">
        <v>4039</v>
      </c>
      <c r="B40" s="233" t="str">
        <f>'Custom cases'!D41</f>
        <v>Custom_Fault_1_000pu_U0_0.001pu</v>
      </c>
      <c r="C40" s="419"/>
      <c r="D40" s="203" t="s">
        <v>10</v>
      </c>
    </row>
    <row r="41" spans="1:4" x14ac:dyDescent="0.4">
      <c r="A41" s="232">
        <v>4040</v>
      </c>
      <c r="B41" s="233" t="str">
        <f>'Custom cases'!D42</f>
        <v>Custom_Fault_3_000pu_U0_0.001pu</v>
      </c>
      <c r="C41" s="419"/>
      <c r="D41" s="139" t="s">
        <v>518</v>
      </c>
    </row>
    <row r="42" spans="1:4" x14ac:dyDescent="0.4">
      <c r="A42" s="232">
        <v>4041</v>
      </c>
      <c r="B42" s="233" t="str">
        <f>'Custom cases'!D43</f>
        <v>Custom_Fault_2_000pu_U0_0.001pu</v>
      </c>
      <c r="C42" s="419"/>
      <c r="D42" s="203" t="s">
        <v>10</v>
      </c>
    </row>
    <row r="43" spans="1:4" ht="15" thickBot="1" x14ac:dyDescent="0.45">
      <c r="A43" s="234">
        <v>4042</v>
      </c>
      <c r="B43" s="235" t="str">
        <f>'Custom cases'!D44</f>
        <v>Custom_Fault_1_000pu_U0_0.001pu</v>
      </c>
      <c r="C43" s="420"/>
      <c r="D43" s="204" t="s">
        <v>10</v>
      </c>
    </row>
    <row r="44" spans="1:4" ht="29.15" x14ac:dyDescent="0.4">
      <c r="A44" s="132">
        <v>4043</v>
      </c>
      <c r="B44" s="229" t="str">
        <f>'Custom cases'!D45</f>
        <v>Custom_Fault_3_U0_0.001_Uend_0.001</v>
      </c>
      <c r="C44" s="418" t="s">
        <v>527</v>
      </c>
      <c r="D44" s="146" t="s">
        <v>520</v>
      </c>
    </row>
    <row r="45" spans="1:4" x14ac:dyDescent="0.4">
      <c r="A45" s="133">
        <v>4044</v>
      </c>
      <c r="B45" s="206" t="str">
        <f>'Custom cases'!D46</f>
        <v>Custom_Fault_2_U0_0.001_Uend_0.001</v>
      </c>
      <c r="C45" s="419"/>
      <c r="D45" s="203" t="s">
        <v>10</v>
      </c>
    </row>
    <row r="46" spans="1:4" x14ac:dyDescent="0.4">
      <c r="A46" s="133">
        <v>4045</v>
      </c>
      <c r="B46" s="206" t="str">
        <f>'Custom cases'!D47</f>
        <v>Custom_Fault_1_U0_0.001_Uend_0.001</v>
      </c>
      <c r="C46" s="419"/>
      <c r="D46" s="203" t="s">
        <v>10</v>
      </c>
    </row>
    <row r="47" spans="1:4" x14ac:dyDescent="0.4">
      <c r="A47" s="133">
        <v>4046</v>
      </c>
      <c r="B47" s="206" t="str">
        <f>'Custom cases'!D48</f>
        <v>Custom_Fault_3_U0_0.001_Uend_0.001</v>
      </c>
      <c r="C47" s="419"/>
      <c r="D47" s="203" t="s">
        <v>10</v>
      </c>
    </row>
    <row r="48" spans="1:4" ht="29.15" x14ac:dyDescent="0.4">
      <c r="A48" s="133">
        <v>4047</v>
      </c>
      <c r="B48" s="206" t="str">
        <f>'Custom cases'!D49</f>
        <v>Custom_Fault_3_U0_0.001_Uend_0.001</v>
      </c>
      <c r="C48" s="419"/>
      <c r="D48" s="139" t="s">
        <v>519</v>
      </c>
    </row>
    <row r="49" spans="1:4" x14ac:dyDescent="0.4">
      <c r="A49" s="133">
        <v>4048</v>
      </c>
      <c r="B49" s="206" t="str">
        <f>'Custom cases'!D50</f>
        <v>Custom_Fault_2_U0_0.001_Uend_0.001</v>
      </c>
      <c r="C49" s="419"/>
      <c r="D49" s="203" t="s">
        <v>10</v>
      </c>
    </row>
    <row r="50" spans="1:4" x14ac:dyDescent="0.4">
      <c r="A50" s="133">
        <v>4049</v>
      </c>
      <c r="B50" s="206" t="str">
        <f>'Custom cases'!D51</f>
        <v>Custom_Fault_1_U0_0.001_Uend_0.001</v>
      </c>
      <c r="C50" s="419"/>
      <c r="D50" s="203" t="s">
        <v>10</v>
      </c>
    </row>
    <row r="51" spans="1:4" x14ac:dyDescent="0.4">
      <c r="A51" s="133">
        <v>4050</v>
      </c>
      <c r="B51" s="206" t="str">
        <f>'Custom cases'!D52</f>
        <v>Custom_Fault_3_U0_0.001_Uend_0.001</v>
      </c>
      <c r="C51" s="419"/>
      <c r="D51" s="203" t="s">
        <v>10</v>
      </c>
    </row>
    <row r="52" spans="1:4" ht="29.15" x14ac:dyDescent="0.4">
      <c r="A52" s="133">
        <v>4051</v>
      </c>
      <c r="B52" s="206" t="str">
        <f>'Custom cases'!D53</f>
        <v>Custom_Fault_3_U0_0.001_Uend_0.001</v>
      </c>
      <c r="C52" s="419"/>
      <c r="D52" s="139" t="s">
        <v>521</v>
      </c>
    </row>
    <row r="53" spans="1:4" x14ac:dyDescent="0.4">
      <c r="A53" s="133">
        <v>4052</v>
      </c>
      <c r="B53" s="206" t="str">
        <f>'Custom cases'!D54</f>
        <v>Custom_Fault_3_U0_0.001_Uend_0.001</v>
      </c>
      <c r="C53" s="419"/>
      <c r="D53" s="203" t="s">
        <v>10</v>
      </c>
    </row>
    <row r="54" spans="1:4" ht="15" thickBot="1" x14ac:dyDescent="0.45">
      <c r="A54" s="207">
        <v>4053</v>
      </c>
      <c r="B54" s="208" t="str">
        <f>'Custom cases'!D55</f>
        <v>Custom_Fault_3_U0_0.001_Uend_0.001</v>
      </c>
      <c r="C54" s="420"/>
      <c r="D54" s="204" t="s">
        <v>10</v>
      </c>
    </row>
    <row r="55" spans="1:4" ht="15.65" customHeight="1" x14ac:dyDescent="0.4">
      <c r="A55" s="223">
        <v>4054</v>
      </c>
      <c r="B55" s="224" t="str">
        <f>'Custom cases'!D56</f>
        <v>Custom_Fault_3_U0_0.001pu_OVRT_001</v>
      </c>
      <c r="C55" s="418" t="s">
        <v>528</v>
      </c>
      <c r="D55" s="146" t="s">
        <v>523</v>
      </c>
    </row>
    <row r="56" spans="1:4" ht="15.65" customHeight="1" x14ac:dyDescent="0.4">
      <c r="A56" s="225">
        <v>4055</v>
      </c>
      <c r="B56" s="226" t="str">
        <f>'Custom cases'!D57</f>
        <v>Custom_Fault_3_U0_0.001pu_OVRT_001</v>
      </c>
      <c r="C56" s="419"/>
      <c r="D56" s="139" t="s">
        <v>523</v>
      </c>
    </row>
    <row r="57" spans="1:4" x14ac:dyDescent="0.4">
      <c r="A57" s="225">
        <v>4056</v>
      </c>
      <c r="B57" s="226" t="str">
        <f>'Custom cases'!D58</f>
        <v>Custom_Fault_3_U0_0.001pu_OVRT_001</v>
      </c>
      <c r="C57" s="419"/>
      <c r="D57" s="139" t="s">
        <v>522</v>
      </c>
    </row>
    <row r="58" spans="1:4" x14ac:dyDescent="0.4">
      <c r="A58" s="225">
        <v>4057</v>
      </c>
      <c r="B58" s="226" t="str">
        <f>'Custom cases'!D59</f>
        <v>Custom_Fault_3_U0_0.001pu_OVRT_001</v>
      </c>
      <c r="C58" s="419"/>
      <c r="D58" s="139" t="s">
        <v>524</v>
      </c>
    </row>
    <row r="59" spans="1:4" x14ac:dyDescent="0.4">
      <c r="A59" s="225">
        <v>4058</v>
      </c>
      <c r="B59" s="226" t="str">
        <f>'Custom cases'!D60</f>
        <v>Custom_Fault_3_U0_0.001pu_OVRT_001</v>
      </c>
      <c r="C59" s="419"/>
      <c r="D59" s="139" t="s">
        <v>524</v>
      </c>
    </row>
    <row r="60" spans="1:4" ht="15" thickBot="1" x14ac:dyDescent="0.45">
      <c r="A60" s="227">
        <v>4059</v>
      </c>
      <c r="B60" s="228" t="str">
        <f>'Custom cases'!D61</f>
        <v>Custom_Fault_3_U0_0.001pu_OVRT_001</v>
      </c>
      <c r="C60" s="420"/>
      <c r="D60" s="143" t="s">
        <v>525</v>
      </c>
    </row>
    <row r="61" spans="1:4" x14ac:dyDescent="0.4">
      <c r="A61" s="221">
        <v>4060</v>
      </c>
      <c r="B61" s="222" t="str">
        <f>'Custom cases'!D62</f>
        <v>Custom_Fault_3_000pu_SCR_2</v>
      </c>
      <c r="C61" s="418" t="s">
        <v>529</v>
      </c>
      <c r="D61" s="146" t="s">
        <v>530</v>
      </c>
    </row>
    <row r="62" spans="1:4" x14ac:dyDescent="0.4">
      <c r="A62" s="217">
        <v>4061</v>
      </c>
      <c r="B62" s="218" t="str">
        <f>'Custom cases'!D63</f>
        <v>Custom_Fault_3_000pu_SCR_3</v>
      </c>
      <c r="C62" s="419"/>
      <c r="D62" s="203" t="s">
        <v>10</v>
      </c>
    </row>
    <row r="63" spans="1:4" x14ac:dyDescent="0.4">
      <c r="A63" s="217">
        <v>4062</v>
      </c>
      <c r="B63" s="218" t="str">
        <f>'Custom cases'!D64</f>
        <v>Custom_Fault_3_000pu_SCR_4</v>
      </c>
      <c r="C63" s="419"/>
      <c r="D63" s="203" t="s">
        <v>10</v>
      </c>
    </row>
    <row r="64" spans="1:4" x14ac:dyDescent="0.4">
      <c r="A64" s="217">
        <v>4063</v>
      </c>
      <c r="B64" s="218" t="str">
        <f>'Custom cases'!D65</f>
        <v>Custom_Fault_3_000pu_SCR_5</v>
      </c>
      <c r="C64" s="419"/>
      <c r="D64" s="203" t="s">
        <v>10</v>
      </c>
    </row>
    <row r="65" spans="1:4" x14ac:dyDescent="0.4">
      <c r="A65" s="217">
        <v>4064</v>
      </c>
      <c r="B65" s="218" t="str">
        <f>'Custom cases'!D66</f>
        <v>Custom_Fault_3_000pu_SCR_6</v>
      </c>
      <c r="C65" s="419"/>
      <c r="D65" s="203" t="s">
        <v>10</v>
      </c>
    </row>
    <row r="66" spans="1:4" x14ac:dyDescent="0.4">
      <c r="A66" s="217">
        <v>4065</v>
      </c>
      <c r="B66" s="218" t="str">
        <f>'Custom cases'!D67</f>
        <v>Custom_Fault_2_000pu_SCR_2</v>
      </c>
      <c r="C66" s="419"/>
      <c r="D66" s="203" t="s">
        <v>10</v>
      </c>
    </row>
    <row r="67" spans="1:4" x14ac:dyDescent="0.4">
      <c r="A67" s="217">
        <v>4066</v>
      </c>
      <c r="B67" s="218" t="str">
        <f>'Custom cases'!D68</f>
        <v>Custom_Fault_2_000pu_SCR_3</v>
      </c>
      <c r="C67" s="419"/>
      <c r="D67" s="203" t="s">
        <v>10</v>
      </c>
    </row>
    <row r="68" spans="1:4" x14ac:dyDescent="0.4">
      <c r="A68" s="217">
        <v>4067</v>
      </c>
      <c r="B68" s="218" t="str">
        <f>'Custom cases'!D69</f>
        <v>Custom_Fault_2_000pu_SCR_4</v>
      </c>
      <c r="C68" s="419"/>
      <c r="D68" s="203" t="s">
        <v>10</v>
      </c>
    </row>
    <row r="69" spans="1:4" x14ac:dyDescent="0.4">
      <c r="A69" s="217">
        <v>4068</v>
      </c>
      <c r="B69" s="218" t="str">
        <f>'Custom cases'!D70</f>
        <v>Custom_Fault_2_000pu_SCR_5</v>
      </c>
      <c r="C69" s="419"/>
      <c r="D69" s="203" t="s">
        <v>10</v>
      </c>
    </row>
    <row r="70" spans="1:4" x14ac:dyDescent="0.4">
      <c r="A70" s="217">
        <v>4069</v>
      </c>
      <c r="B70" s="218" t="str">
        <f>'Custom cases'!D71</f>
        <v>Custom_Fault_2_000pu_SCR_6</v>
      </c>
      <c r="C70" s="419"/>
      <c r="D70" s="203" t="s">
        <v>10</v>
      </c>
    </row>
    <row r="71" spans="1:4" x14ac:dyDescent="0.4">
      <c r="A71" s="217">
        <v>4070</v>
      </c>
      <c r="B71" s="218" t="str">
        <f>'Custom cases'!D72</f>
        <v>Custom_Fault_3_001pu_SCR_2</v>
      </c>
      <c r="C71" s="419"/>
      <c r="D71" s="203" t="s">
        <v>10</v>
      </c>
    </row>
    <row r="72" spans="1:4" x14ac:dyDescent="0.4">
      <c r="A72" s="217">
        <v>4071</v>
      </c>
      <c r="B72" s="218" t="str">
        <f>'Custom cases'!D73</f>
        <v>Custom_Fault_3_001pu_SCR_3</v>
      </c>
      <c r="C72" s="419"/>
      <c r="D72" s="203" t="s">
        <v>10</v>
      </c>
    </row>
    <row r="73" spans="1:4" x14ac:dyDescent="0.4">
      <c r="A73" s="217">
        <v>4072</v>
      </c>
      <c r="B73" s="218" t="str">
        <f>'Custom cases'!D74</f>
        <v>Custom_Fault_3_001pu_SCR_4</v>
      </c>
      <c r="C73" s="419"/>
      <c r="D73" s="203" t="s">
        <v>10</v>
      </c>
    </row>
    <row r="74" spans="1:4" x14ac:dyDescent="0.4">
      <c r="A74" s="217">
        <v>4073</v>
      </c>
      <c r="B74" s="218" t="str">
        <f>'Custom cases'!D75</f>
        <v>Custom_Fault_3_001pu_SCR_5</v>
      </c>
      <c r="C74" s="419"/>
      <c r="D74" s="203" t="s">
        <v>10</v>
      </c>
    </row>
    <row r="75" spans="1:4" x14ac:dyDescent="0.4">
      <c r="A75" s="217">
        <v>4074</v>
      </c>
      <c r="B75" s="218" t="str">
        <f>'Custom cases'!D76</f>
        <v>Custom_Fault_3_001pu_SCR_6</v>
      </c>
      <c r="C75" s="419"/>
      <c r="D75" s="203" t="s">
        <v>10</v>
      </c>
    </row>
    <row r="76" spans="1:4" x14ac:dyDescent="0.4">
      <c r="A76" s="217">
        <v>4075</v>
      </c>
      <c r="B76" s="218" t="str">
        <f>'Custom cases'!D77</f>
        <v>Custom_Fault_2_001pu_SCR_2</v>
      </c>
      <c r="C76" s="419"/>
      <c r="D76" s="203" t="s">
        <v>10</v>
      </c>
    </row>
    <row r="77" spans="1:4" x14ac:dyDescent="0.4">
      <c r="A77" s="217">
        <v>4076</v>
      </c>
      <c r="B77" s="218" t="str">
        <f>'Custom cases'!D78</f>
        <v>Custom_Fault_2_001pu_SCR_3</v>
      </c>
      <c r="C77" s="419"/>
      <c r="D77" s="203" t="s">
        <v>10</v>
      </c>
    </row>
    <row r="78" spans="1:4" x14ac:dyDescent="0.4">
      <c r="A78" s="217">
        <v>4077</v>
      </c>
      <c r="B78" s="218" t="str">
        <f>'Custom cases'!D79</f>
        <v>Custom_Fault_2_001pu_SCR_4</v>
      </c>
      <c r="C78" s="419"/>
      <c r="D78" s="203" t="s">
        <v>10</v>
      </c>
    </row>
    <row r="79" spans="1:4" x14ac:dyDescent="0.4">
      <c r="A79" s="217">
        <v>4078</v>
      </c>
      <c r="B79" s="218" t="str">
        <f>'Custom cases'!D80</f>
        <v>Custom_Fault_2_001pu_SCR_5</v>
      </c>
      <c r="C79" s="419"/>
      <c r="D79" s="203" t="s">
        <v>10</v>
      </c>
    </row>
    <row r="80" spans="1:4" ht="15" thickBot="1" x14ac:dyDescent="0.45">
      <c r="A80" s="219">
        <v>4079</v>
      </c>
      <c r="B80" s="220" t="str">
        <f>'Custom cases'!D81</f>
        <v>Custom_Fault_2_001pu_SCR_6</v>
      </c>
      <c r="C80" s="420"/>
      <c r="D80" s="204" t="s">
        <v>10</v>
      </c>
    </row>
    <row r="81" spans="1:4" x14ac:dyDescent="0.4">
      <c r="A81" s="193">
        <v>4080</v>
      </c>
      <c r="B81" s="209" t="str">
        <f>'Custom cases'!D82</f>
        <v>Custom_Fault_3_000pu_Duration_80</v>
      </c>
      <c r="C81" s="418" t="s">
        <v>531</v>
      </c>
      <c r="D81" s="139" t="s">
        <v>532</v>
      </c>
    </row>
    <row r="82" spans="1:4" x14ac:dyDescent="0.4">
      <c r="A82" s="193">
        <v>4081</v>
      </c>
      <c r="B82" s="209" t="str">
        <f>'Custom cases'!D83</f>
        <v>Custom_Fault_3_000pu_Duration_60</v>
      </c>
      <c r="C82" s="419"/>
      <c r="D82" s="203" t="s">
        <v>10</v>
      </c>
    </row>
    <row r="83" spans="1:4" x14ac:dyDescent="0.4">
      <c r="A83" s="193">
        <v>4082</v>
      </c>
      <c r="B83" s="209" t="str">
        <f>'Custom cases'!D84</f>
        <v>Custom_Fault_3_000pu_Duration_40</v>
      </c>
      <c r="C83" s="419"/>
      <c r="D83" s="203" t="s">
        <v>10</v>
      </c>
    </row>
    <row r="84" spans="1:4" ht="29.15" x14ac:dyDescent="0.4">
      <c r="A84" s="193">
        <v>4083</v>
      </c>
      <c r="B84" s="209" t="str">
        <f>'Custom cases'!D85</f>
        <v>Custom_Shift_10_Fault_3_000pu</v>
      </c>
      <c r="C84" s="419"/>
      <c r="D84" s="139" t="s">
        <v>533</v>
      </c>
    </row>
    <row r="85" spans="1:4" x14ac:dyDescent="0.4">
      <c r="A85" s="193">
        <v>4084</v>
      </c>
      <c r="B85" s="209" t="str">
        <f>'Custom cases'!D86</f>
        <v>Custom_Shift_20_Fault_3_000pu</v>
      </c>
      <c r="C85" s="419"/>
      <c r="D85" s="203" t="s">
        <v>10</v>
      </c>
    </row>
    <row r="86" spans="1:4" x14ac:dyDescent="0.4">
      <c r="A86" s="193">
        <v>4085</v>
      </c>
      <c r="B86" s="209" t="str">
        <f>'Custom cases'!D87</f>
        <v>Custom_Shift_30_Fault_3_000pu</v>
      </c>
      <c r="C86" s="419"/>
      <c r="D86" s="203" t="s">
        <v>10</v>
      </c>
    </row>
    <row r="87" spans="1:4" x14ac:dyDescent="0.4">
      <c r="A87" s="193">
        <v>4086</v>
      </c>
      <c r="B87" s="209" t="str">
        <f>'Custom cases'!D88</f>
        <v>Custom_Shift_40_Fault_3_000pu</v>
      </c>
      <c r="C87" s="419"/>
      <c r="D87" s="203" t="s">
        <v>10</v>
      </c>
    </row>
    <row r="88" spans="1:4" ht="15" thickBot="1" x14ac:dyDescent="0.45">
      <c r="A88" s="202">
        <v>4087</v>
      </c>
      <c r="B88" s="210" t="str">
        <f>'Custom cases'!D89</f>
        <v>Custom_Shift_50_Fault_3_000pu</v>
      </c>
      <c r="C88" s="420"/>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8</v>
      </c>
      <c r="B1" t="s">
        <v>21</v>
      </c>
      <c r="C1" t="s">
        <v>218</v>
      </c>
      <c r="D1" t="s">
        <v>210</v>
      </c>
      <c r="E1" t="b">
        <f>TRUE</f>
        <v>1</v>
      </c>
      <c r="F1" t="s">
        <v>214</v>
      </c>
    </row>
    <row r="2" spans="1:6" x14ac:dyDescent="0.4">
      <c r="A2" t="s">
        <v>35</v>
      </c>
      <c r="B2" t="s">
        <v>110</v>
      </c>
      <c r="C2" t="s">
        <v>219</v>
      </c>
      <c r="D2" t="s">
        <v>211</v>
      </c>
      <c r="E2" t="b">
        <f>FALSE</f>
        <v>0</v>
      </c>
      <c r="F2" t="s">
        <v>215</v>
      </c>
    </row>
    <row r="3" spans="1:6" x14ac:dyDescent="0.4">
      <c r="B3" t="s">
        <v>112</v>
      </c>
      <c r="C3" t="s">
        <v>95</v>
      </c>
      <c r="D3" t="s">
        <v>212</v>
      </c>
      <c r="F3" t="s">
        <v>216</v>
      </c>
    </row>
    <row r="4" spans="1:6" x14ac:dyDescent="0.4">
      <c r="B4" t="s">
        <v>105</v>
      </c>
      <c r="C4" t="s">
        <v>220</v>
      </c>
      <c r="D4" t="s">
        <v>213</v>
      </c>
      <c r="F4" t="s">
        <v>217</v>
      </c>
    </row>
    <row r="5" spans="1:6" x14ac:dyDescent="0.4">
      <c r="B5" t="s">
        <v>321</v>
      </c>
      <c r="C5" t="s">
        <v>317</v>
      </c>
    </row>
    <row r="6" spans="1:6" x14ac:dyDescent="0.4">
      <c r="B6" t="s">
        <v>318</v>
      </c>
      <c r="C6" t="s">
        <v>221</v>
      </c>
    </row>
    <row r="7" spans="1:6" x14ac:dyDescent="0.4">
      <c r="B7" t="s">
        <v>319</v>
      </c>
      <c r="C7" t="s">
        <v>222</v>
      </c>
    </row>
    <row r="8" spans="1:6" x14ac:dyDescent="0.4">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2026-08-06T11:47:45Z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